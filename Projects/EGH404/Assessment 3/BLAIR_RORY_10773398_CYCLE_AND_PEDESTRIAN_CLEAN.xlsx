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yb\OneDrive\Desktop\EGH404 Ass3\"/>
    </mc:Choice>
  </mc:AlternateContent>
  <xr:revisionPtr revIDLastSave="0" documentId="13_ncr:1_{B5DF82AA-A67D-49A5-950C-CFC792AD57C2}" xr6:coauthVersionLast="47" xr6:coauthVersionMax="47" xr10:uidLastSave="{00000000-0000-0000-0000-000000000000}"/>
  <bookViews>
    <workbookView xWindow="-108" yWindow="-108" windowWidth="23256" windowHeight="12456" xr2:uid="{0129E0CD-694D-499B-90B1-6D053CB9C016}"/>
  </bookViews>
  <sheets>
    <sheet name="Cycle_and_pedestrian data" sheetId="1" r:id="rId1"/>
  </sheets>
  <definedNames>
    <definedName name="_xlchart.v1.0" hidden="1">'Cycle_and_pedestrian data'!$K$1</definedName>
    <definedName name="_xlchart.v1.1" hidden="1">'Cycle_and_pedestrian data'!$K$2:$K$6</definedName>
    <definedName name="_xlchart.v1.2" hidden="1">'Cycle_and_pedestrian data'!$L$1</definedName>
    <definedName name="_xlchart.v1.3" hidden="1">'Cycle_and_pedestrian data'!$L$2:$L$6</definedName>
    <definedName name="_xlchart.v1.4" hidden="1">'Cycle_and_pedestrian data'!$M$1</definedName>
    <definedName name="_xlchart.v1.5" hidden="1">'Cycle_and_pedestrian data'!$M$2:$M$6</definedName>
    <definedName name="_xlchart.v1.6" hidden="1">'Cycle_and_pedestrian data'!$N$1</definedName>
    <definedName name="_xlchart.v1.7" hidden="1">'Cycle_and_pedestrian data'!$N$2:$N$6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9" i="1" l="1"/>
  <c r="C385" i="1"/>
  <c r="C384" i="1"/>
  <c r="C383" i="1"/>
  <c r="C382" i="1"/>
  <c r="C381" i="1"/>
  <c r="C380" i="1"/>
  <c r="C379" i="1"/>
  <c r="C378" i="1"/>
  <c r="C377" i="1"/>
  <c r="C376" i="1"/>
  <c r="C375" i="1"/>
  <c r="C374" i="1"/>
  <c r="B385" i="1"/>
  <c r="B384" i="1"/>
  <c r="B383" i="1"/>
  <c r="B382" i="1"/>
  <c r="B381" i="1"/>
  <c r="B374" i="1"/>
  <c r="I372" i="1"/>
  <c r="I371" i="1"/>
  <c r="I370" i="1"/>
  <c r="P355" i="1"/>
  <c r="P354" i="1"/>
  <c r="P353" i="1"/>
  <c r="P352" i="1"/>
  <c r="O354" i="1"/>
  <c r="O353" i="1"/>
  <c r="K7" i="1"/>
  <c r="K6" i="1"/>
  <c r="K5" i="1"/>
  <c r="K4" i="1"/>
  <c r="K3" i="1"/>
  <c r="K2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4" i="1"/>
  <c r="B305" i="1"/>
  <c r="B303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5" i="1"/>
  <c r="B247" i="1"/>
  <c r="B246" i="1"/>
  <c r="B244" i="1"/>
  <c r="B243" i="1"/>
  <c r="B242" i="1"/>
  <c r="B241" i="1"/>
  <c r="B240" i="1"/>
  <c r="B239" i="1"/>
  <c r="B238" i="1"/>
  <c r="B237" i="1"/>
  <c r="B236" i="1"/>
  <c r="B235" i="1"/>
  <c r="L7" i="1"/>
  <c r="L6" i="1"/>
  <c r="L5" i="1"/>
  <c r="L4" i="1"/>
  <c r="L3" i="1"/>
  <c r="C322" i="1"/>
  <c r="C319" i="1"/>
  <c r="C316" i="1"/>
  <c r="C315" i="1"/>
  <c r="C314" i="1"/>
  <c r="C313" i="1"/>
  <c r="C312" i="1"/>
  <c r="C309" i="1"/>
  <c r="C308" i="1"/>
  <c r="C307" i="1"/>
  <c r="C305" i="1"/>
  <c r="C301" i="1"/>
  <c r="C300" i="1"/>
  <c r="C298" i="1"/>
  <c r="C294" i="1"/>
  <c r="C292" i="1"/>
  <c r="C291" i="1"/>
  <c r="C288" i="1"/>
  <c r="C287" i="1"/>
  <c r="C286" i="1"/>
  <c r="C285" i="1"/>
  <c r="C284" i="1"/>
  <c r="C281" i="1"/>
  <c r="C280" i="1"/>
  <c r="C279" i="1"/>
  <c r="C265" i="1"/>
  <c r="C264" i="1"/>
  <c r="C263" i="1"/>
  <c r="C260" i="1"/>
  <c r="C259" i="1"/>
  <c r="C258" i="1"/>
  <c r="C257" i="1"/>
  <c r="C256" i="1"/>
  <c r="C252" i="1"/>
  <c r="C251" i="1"/>
  <c r="C250" i="1"/>
  <c r="C249" i="1"/>
  <c r="C246" i="1"/>
  <c r="C245" i="1"/>
  <c r="C244" i="1"/>
  <c r="C243" i="1"/>
  <c r="C242" i="1"/>
  <c r="C239" i="1"/>
  <c r="C238" i="1"/>
  <c r="C237" i="1"/>
  <c r="C236" i="1"/>
  <c r="C235" i="1"/>
  <c r="M7" i="1"/>
  <c r="N7" i="1"/>
  <c r="M6" i="1"/>
  <c r="N6" i="1"/>
  <c r="N5" i="1"/>
  <c r="M5" i="1"/>
  <c r="M4" i="1"/>
  <c r="N4" i="1"/>
  <c r="N3" i="1"/>
  <c r="M3" i="1"/>
  <c r="M2" i="1"/>
  <c r="N2" i="1"/>
  <c r="Q355" i="1"/>
  <c r="R355" i="1"/>
  <c r="Q354" i="1"/>
  <c r="R354" i="1"/>
  <c r="Q353" i="1"/>
  <c r="R353" i="1"/>
  <c r="Q352" i="1"/>
  <c r="R352" i="1"/>
  <c r="Q351" i="1"/>
  <c r="R351" i="1"/>
  <c r="O352" i="1" l="1"/>
  <c r="O355" i="1"/>
  <c r="O351" i="1"/>
  <c r="P351" i="1"/>
  <c r="L2" i="1"/>
  <c r="D385" i="1"/>
  <c r="E385" i="1"/>
  <c r="D384" i="1"/>
  <c r="E384" i="1"/>
  <c r="D383" i="1"/>
  <c r="E383" i="1"/>
  <c r="D382" i="1"/>
  <c r="E382" i="1"/>
  <c r="D381" i="1"/>
  <c r="E381" i="1"/>
  <c r="D380" i="1"/>
  <c r="E380" i="1"/>
  <c r="B380" i="1"/>
  <c r="D379" i="1"/>
  <c r="E379" i="1"/>
  <c r="B379" i="1"/>
  <c r="D378" i="1"/>
  <c r="E378" i="1"/>
  <c r="B378" i="1"/>
  <c r="D377" i="1"/>
  <c r="E377" i="1"/>
  <c r="B377" i="1"/>
  <c r="E376" i="1"/>
  <c r="D376" i="1"/>
  <c r="B376" i="1"/>
  <c r="D375" i="1"/>
  <c r="E375" i="1"/>
  <c r="B375" i="1"/>
  <c r="D374" i="1"/>
  <c r="D387" i="1" s="1"/>
  <c r="E374" i="1"/>
  <c r="B388" i="1" l="1"/>
  <c r="C387" i="1"/>
  <c r="E388" i="1"/>
</calcChain>
</file>

<file path=xl/sharedStrings.xml><?xml version="1.0" encoding="utf-8"?>
<sst xmlns="http://schemas.openxmlformats.org/spreadsheetml/2006/main" count="413" uniqueCount="399">
  <si>
    <t>Date</t>
  </si>
  <si>
    <t>Eleanor Schonell Bridge, St Lucia Cyclist</t>
  </si>
  <si>
    <t>Eleanor Schonell Bridge, St Lucia Pedestrian</t>
  </si>
  <si>
    <t>Jack Pesch Bridge, Indooroopilly Pedestrian</t>
  </si>
  <si>
    <t>Jack Pesch Bridge, Indooroopilly Cyclist</t>
  </si>
  <si>
    <t>Sat, 01 01 22</t>
  </si>
  <si>
    <t>Sun, 02 01 22</t>
  </si>
  <si>
    <t>Mon, 03 01 22</t>
  </si>
  <si>
    <t>Tue, 04 01 22</t>
  </si>
  <si>
    <t>Wed, 05 01 22</t>
  </si>
  <si>
    <t>Thu, 06 01 22</t>
  </si>
  <si>
    <t>Fri, 07 01 22</t>
  </si>
  <si>
    <t>Sat, 08 01 22</t>
  </si>
  <si>
    <t>Sun, 09 01 22</t>
  </si>
  <si>
    <t>Mon, 10 01 22</t>
  </si>
  <si>
    <t>Tue, 11 01 22</t>
  </si>
  <si>
    <t>Wed, 12 01 22</t>
  </si>
  <si>
    <t>Thu, 13 01 22</t>
  </si>
  <si>
    <t>Fri, 14 01 22</t>
  </si>
  <si>
    <t>Sat, 15 01 22</t>
  </si>
  <si>
    <t>Sun, 16 01 22</t>
  </si>
  <si>
    <t>Mon, 17 01 22</t>
  </si>
  <si>
    <t>Tue, 18 01 22</t>
  </si>
  <si>
    <t>Wed, 19 01 22</t>
  </si>
  <si>
    <t>Thu, 20 01 22</t>
  </si>
  <si>
    <t>Fri, 21 01 22</t>
  </si>
  <si>
    <t>Sat, 22 01 22</t>
  </si>
  <si>
    <t>Sun, 23 01 22</t>
  </si>
  <si>
    <t>Mon, 24 01 22</t>
  </si>
  <si>
    <t>Tue, 25 01 22</t>
  </si>
  <si>
    <t>Wed, 26 01 22</t>
  </si>
  <si>
    <t>Thu, 27 01 22</t>
  </si>
  <si>
    <t>Fri, 28 01 22</t>
  </si>
  <si>
    <t>Sat, 29 01 22</t>
  </si>
  <si>
    <t>Sun, 30 01 22</t>
  </si>
  <si>
    <t>Mon, 31 01 22</t>
  </si>
  <si>
    <t>Tue, 01 02 22</t>
  </si>
  <si>
    <t>Wed, 02 02 22</t>
  </si>
  <si>
    <t>Thu, 03 02 22</t>
  </si>
  <si>
    <t>Fri, 04 02 22</t>
  </si>
  <si>
    <t>Sat, 05 02 22</t>
  </si>
  <si>
    <t>Sun, 06 02 22</t>
  </si>
  <si>
    <t>Mon, 07 02 22</t>
  </si>
  <si>
    <t>Tue, 08 02 22</t>
  </si>
  <si>
    <t>Wed, 09 02 22</t>
  </si>
  <si>
    <t>Thu, 10 02 22</t>
  </si>
  <si>
    <t>Fri, 11 02 22</t>
  </si>
  <si>
    <t>Sat, 12 02 22</t>
  </si>
  <si>
    <t>Sun, 13 02 22</t>
  </si>
  <si>
    <t>Mon, 14 02 22</t>
  </si>
  <si>
    <t>Tue, 15 02 22</t>
  </si>
  <si>
    <t>Wed, 16 02 22</t>
  </si>
  <si>
    <t>Thu, 17 02 22</t>
  </si>
  <si>
    <t>Fri, 18 02 22</t>
  </si>
  <si>
    <t>Sat, 19 02 22</t>
  </si>
  <si>
    <t>Sun, 20 02 22</t>
  </si>
  <si>
    <t>Mon, 21 02 22</t>
  </si>
  <si>
    <t>Tue, 22 02 22</t>
  </si>
  <si>
    <t>Wed, 23 02 22</t>
  </si>
  <si>
    <t>Thu, 24 02 22</t>
  </si>
  <si>
    <t>Fri, 25 02 22</t>
  </si>
  <si>
    <t>Sat, 26 02 22</t>
  </si>
  <si>
    <t>Sun, 27 02 22</t>
  </si>
  <si>
    <t>Mon, 28 02 22</t>
  </si>
  <si>
    <t>Tue, 01 03 22</t>
  </si>
  <si>
    <t>Wed, 02 03 22</t>
  </si>
  <si>
    <t>Thu, 03 03 22</t>
  </si>
  <si>
    <t>Fri, 04 03 22</t>
  </si>
  <si>
    <t>Sat, 05 03 22</t>
  </si>
  <si>
    <t>Sun, 06 03 22</t>
  </si>
  <si>
    <t>Mon, 07 03 22</t>
  </si>
  <si>
    <t>Tue, 08 03 22</t>
  </si>
  <si>
    <t>Wed, 09 03 22</t>
  </si>
  <si>
    <t>Thu, 10 03 22</t>
  </si>
  <si>
    <t>Fri, 11 03 22</t>
  </si>
  <si>
    <t>Sat, 12 03 22</t>
  </si>
  <si>
    <t>Sun, 13 03 22</t>
  </si>
  <si>
    <t>Mon, 14 03 22</t>
  </si>
  <si>
    <t>Tue, 15 03 22</t>
  </si>
  <si>
    <t>Wed, 16 03 22</t>
  </si>
  <si>
    <t>Thu, 17 03 22</t>
  </si>
  <si>
    <t>Fri, 18 03 22</t>
  </si>
  <si>
    <t>Sat, 19 03 22</t>
  </si>
  <si>
    <t>Sun, 20 03 22</t>
  </si>
  <si>
    <t>Mon, 21 03 22</t>
  </si>
  <si>
    <t>Tue, 22 03 22</t>
  </si>
  <si>
    <t>Wed, 23 03 22</t>
  </si>
  <si>
    <t>Thu, 24 03 22</t>
  </si>
  <si>
    <t>Fri, 25 03 22</t>
  </si>
  <si>
    <t>Sat, 26 03 22</t>
  </si>
  <si>
    <t>Sun, 27 03 22</t>
  </si>
  <si>
    <t>Mon, 28 03 22</t>
  </si>
  <si>
    <t>Tue, 29 03 22</t>
  </si>
  <si>
    <t>Wed, 30 03 22</t>
  </si>
  <si>
    <t>Thu, 31 03 22</t>
  </si>
  <si>
    <t>Fri, 01 04 22</t>
  </si>
  <si>
    <t>Sat, 02 04 22</t>
  </si>
  <si>
    <t>Sun, 03 04 22</t>
  </si>
  <si>
    <t>Mon, 04 04 22</t>
  </si>
  <si>
    <t>Tue, 05 04 22</t>
  </si>
  <si>
    <t>Wed, 06 04 22</t>
  </si>
  <si>
    <t>Thu, 07 04 22</t>
  </si>
  <si>
    <t>Fri, 08 04 22</t>
  </si>
  <si>
    <t>Sat, 09 04 22</t>
  </si>
  <si>
    <t>Sun, 10 04 22</t>
  </si>
  <si>
    <t>Mon, 11 04 22</t>
  </si>
  <si>
    <t>Tue, 12 04 22</t>
  </si>
  <si>
    <t>Wed, 13 04 22</t>
  </si>
  <si>
    <t>Thu, 14 04 22</t>
  </si>
  <si>
    <t>Fri, 15 04 22</t>
  </si>
  <si>
    <t>Sat, 16 04 22</t>
  </si>
  <si>
    <t>Sun, 17 04 22</t>
  </si>
  <si>
    <t>Mon, 18 04 22</t>
  </si>
  <si>
    <t>Tue, 19 04 22</t>
  </si>
  <si>
    <t>Wed, 20 04 22</t>
  </si>
  <si>
    <t>Thu, 21 04 22</t>
  </si>
  <si>
    <t>Fri, 22 04 22</t>
  </si>
  <si>
    <t>Sat, 23 04 22</t>
  </si>
  <si>
    <t>Sun, 24 04 22</t>
  </si>
  <si>
    <t>Mon, 25 04 22</t>
  </si>
  <si>
    <t>Tue, 26 04 22</t>
  </si>
  <si>
    <t>Wed, 27 04 22</t>
  </si>
  <si>
    <t>Thu, 28 04 22</t>
  </si>
  <si>
    <t>Fri, 29 04 22</t>
  </si>
  <si>
    <t>Sat, 30 04 22</t>
  </si>
  <si>
    <t>Sun, 01 05 22</t>
  </si>
  <si>
    <t>Mon, 02 05 22</t>
  </si>
  <si>
    <t>Tue, 03 05 22</t>
  </si>
  <si>
    <t>Wed, 04 05 22</t>
  </si>
  <si>
    <t>Thu, 05 05 22</t>
  </si>
  <si>
    <t>Fri, 06 05 22</t>
  </si>
  <si>
    <t>Sat, 07 05 22</t>
  </si>
  <si>
    <t>Sun, 08 05 22</t>
  </si>
  <si>
    <t>Mon, 09 05 22</t>
  </si>
  <si>
    <t>Tue, 10 05 22</t>
  </si>
  <si>
    <t>Wed, 11 05 22</t>
  </si>
  <si>
    <t>Thu, 12 05 22</t>
  </si>
  <si>
    <t>Fri, 13 05 22</t>
  </si>
  <si>
    <t>Sat, 14 05 22</t>
  </si>
  <si>
    <t>Sun, 15 05 22</t>
  </si>
  <si>
    <t>Mon, 16 05 22</t>
  </si>
  <si>
    <t>Tue, 17 05 22</t>
  </si>
  <si>
    <t>Wed, 18 05 22</t>
  </si>
  <si>
    <t>Thu, 19 05 22</t>
  </si>
  <si>
    <t>Fri, 20 05 22</t>
  </si>
  <si>
    <t>Sat, 21 05 22</t>
  </si>
  <si>
    <t>Sun, 22 05 22</t>
  </si>
  <si>
    <t>Mon, 23 05 22</t>
  </si>
  <si>
    <t>Tue, 24 05 22</t>
  </si>
  <si>
    <t>Wed, 25 05 22</t>
  </si>
  <si>
    <t>Thu, 26 05 22</t>
  </si>
  <si>
    <t>Fri, 27 05 22</t>
  </si>
  <si>
    <t>Sat, 28 05 22</t>
  </si>
  <si>
    <t>Sun, 29 05 22</t>
  </si>
  <si>
    <t>Mon, 30 05 22</t>
  </si>
  <si>
    <t>Tue, 31 05 22</t>
  </si>
  <si>
    <t>Wed, 01 06 22</t>
  </si>
  <si>
    <t>Thu, 02 06 22</t>
  </si>
  <si>
    <t>Fri, 03 06 22</t>
  </si>
  <si>
    <t>Sat, 04 06 22</t>
  </si>
  <si>
    <t>Sun, 05 06 22</t>
  </si>
  <si>
    <t>Mon, 06 06 22</t>
  </si>
  <si>
    <t>Tue, 07 06 22</t>
  </si>
  <si>
    <t>Wed, 08 06 22</t>
  </si>
  <si>
    <t>Thu, 09 06 22</t>
  </si>
  <si>
    <t>Fri, 10 06 22</t>
  </si>
  <si>
    <t>Sat, 11 06 22</t>
  </si>
  <si>
    <t>Sun, 12 06 22</t>
  </si>
  <si>
    <t>Mon, 13 06 22</t>
  </si>
  <si>
    <t>Tue, 14 06 22</t>
  </si>
  <si>
    <t>Wed, 15 06 22</t>
  </si>
  <si>
    <t>Thu, 16 06 22</t>
  </si>
  <si>
    <t>Fri, 17 06 22</t>
  </si>
  <si>
    <t>Sat, 18 06 22</t>
  </si>
  <si>
    <t>Sun, 19 06 22</t>
  </si>
  <si>
    <t>Mon, 20 06 22</t>
  </si>
  <si>
    <t>Tue, 21 06 22</t>
  </si>
  <si>
    <t>Wed, 22 06 22</t>
  </si>
  <si>
    <t>Thu, 23 06 22</t>
  </si>
  <si>
    <t>Fri, 24 06 22</t>
  </si>
  <si>
    <t>Sat, 25 06 22</t>
  </si>
  <si>
    <t>Sun, 26 06 22</t>
  </si>
  <si>
    <t>Mon, 27 06 22</t>
  </si>
  <si>
    <t>Tue, 28 06 22</t>
  </si>
  <si>
    <t>Wed, 29 06 22</t>
  </si>
  <si>
    <t>Thu, 30 06 22</t>
  </si>
  <si>
    <t>Fri, 01 07 22</t>
  </si>
  <si>
    <t>Sat, 02 07 22</t>
  </si>
  <si>
    <t>Sun, 03 07 22</t>
  </si>
  <si>
    <t>Mon, 04 07 22</t>
  </si>
  <si>
    <t>Tue, 05 07 22</t>
  </si>
  <si>
    <t>Wed, 06 07 22</t>
  </si>
  <si>
    <t>Thu, 07 07 22</t>
  </si>
  <si>
    <t>Fri, 08 07 22</t>
  </si>
  <si>
    <t>Sat, 09 07 22</t>
  </si>
  <si>
    <t>Sun, 10 07 22</t>
  </si>
  <si>
    <t>Mon, 11 07 22</t>
  </si>
  <si>
    <t>Tue, 12 07 22</t>
  </si>
  <si>
    <t>Wed, 13 07 22</t>
  </si>
  <si>
    <t>Thu, 14 07 22</t>
  </si>
  <si>
    <t>Fri, 15 07 22</t>
  </si>
  <si>
    <t>Sat, 16 07 22</t>
  </si>
  <si>
    <t>Sun, 17 07 22</t>
  </si>
  <si>
    <t>Mon, 18 07 22</t>
  </si>
  <si>
    <t>Tue, 19 07 22</t>
  </si>
  <si>
    <t>Wed, 20 07 22</t>
  </si>
  <si>
    <t>Thu, 21 07 22</t>
  </si>
  <si>
    <t>Fri, 22 07 22</t>
  </si>
  <si>
    <t>Sat, 23 07 22</t>
  </si>
  <si>
    <t>Sun, 24 07 22</t>
  </si>
  <si>
    <t>Mon, 25 07 22</t>
  </si>
  <si>
    <t>Tue, 26 07 22</t>
  </si>
  <si>
    <t>Wed, 27 07 22</t>
  </si>
  <si>
    <t>Thu, 28 07 22</t>
  </si>
  <si>
    <t>Fri, 29 07 22</t>
  </si>
  <si>
    <t>Sat, 30 07 22</t>
  </si>
  <si>
    <t>Sun, 31 07 22</t>
  </si>
  <si>
    <t>Mon, 01 08 22</t>
  </si>
  <si>
    <t>Tue, 02 08 22</t>
  </si>
  <si>
    <t>Wed, 03 08 22</t>
  </si>
  <si>
    <t>Thu, 04 08 22</t>
  </si>
  <si>
    <t>Fri, 05 08 22</t>
  </si>
  <si>
    <t>Sat, 06 08 22</t>
  </si>
  <si>
    <t>Sun, 07 08 22</t>
  </si>
  <si>
    <t>Mon, 08 08 22</t>
  </si>
  <si>
    <t>Tue, 09 08 22</t>
  </si>
  <si>
    <t>Wed, 10 08 22</t>
  </si>
  <si>
    <t>Thu, 11 08 22</t>
  </si>
  <si>
    <t>Fri, 12 08 22</t>
  </si>
  <si>
    <t>Sat, 13 08 22</t>
  </si>
  <si>
    <t>Sun, 14 08 22</t>
  </si>
  <si>
    <t>Mon, 15 08 22</t>
  </si>
  <si>
    <t>Tue, 16 08 22</t>
  </si>
  <si>
    <t>Wed, 17 08 22</t>
  </si>
  <si>
    <t>Thu, 18 08 22</t>
  </si>
  <si>
    <t>Fri, 19 08 22</t>
  </si>
  <si>
    <t>Sat, 20 08 22</t>
  </si>
  <si>
    <t>Sun, 21 08 22</t>
  </si>
  <si>
    <t>Mon, 22 08 22</t>
  </si>
  <si>
    <t>Tue, 23 08 22</t>
  </si>
  <si>
    <t>Wed, 24 08 22</t>
  </si>
  <si>
    <t>Thu, 25 08 22</t>
  </si>
  <si>
    <t>Fri, 26 08 22</t>
  </si>
  <si>
    <t>Sat, 27 08 22</t>
  </si>
  <si>
    <t>Sun, 28 08 22</t>
  </si>
  <si>
    <t>Mon, 29 08 22</t>
  </si>
  <si>
    <t>Tue, 30 08 22</t>
  </si>
  <si>
    <t>Wed, 31 08 22</t>
  </si>
  <si>
    <t>Thu, 01 09 22</t>
  </si>
  <si>
    <t>Fri, 02 09 22</t>
  </si>
  <si>
    <t>Sat, 03 09 22</t>
  </si>
  <si>
    <t>Sun, 04 09 22</t>
  </si>
  <si>
    <t>Mon, 05 09 22</t>
  </si>
  <si>
    <t>Tue, 06 09 22</t>
  </si>
  <si>
    <t>Wed, 07 09 22</t>
  </si>
  <si>
    <t>Thu, 08 09 22</t>
  </si>
  <si>
    <t>Fri, 09 09 22</t>
  </si>
  <si>
    <t>Sat, 10 09 22</t>
  </si>
  <si>
    <t>Sun, 11 09 22</t>
  </si>
  <si>
    <t>Mon, 12 09 22</t>
  </si>
  <si>
    <t>Tue, 13 09 22</t>
  </si>
  <si>
    <t>Wed, 14 09 22</t>
  </si>
  <si>
    <t>Thu, 15 09 22</t>
  </si>
  <si>
    <t>Fri, 16 09 22</t>
  </si>
  <si>
    <t>Sat, 17 09 22</t>
  </si>
  <si>
    <t>Sun, 18 09 22</t>
  </si>
  <si>
    <t>Mon, 19 09 22</t>
  </si>
  <si>
    <t>Tue, 20 09 22</t>
  </si>
  <si>
    <t>Wed, 21 09 22</t>
  </si>
  <si>
    <t>Thu, 22 09 22</t>
  </si>
  <si>
    <t>Fri, 23 09 22</t>
  </si>
  <si>
    <t>Sat, 24 09 22</t>
  </si>
  <si>
    <t>Sun, 25 09 22</t>
  </si>
  <si>
    <t>Mon, 26 09 22</t>
  </si>
  <si>
    <t>Tue, 27 09 22</t>
  </si>
  <si>
    <t>Wed, 28 09 22</t>
  </si>
  <si>
    <t>Thu, 29 09 22</t>
  </si>
  <si>
    <t>Fri, 30 09 22</t>
  </si>
  <si>
    <t>Sat, 01 10 22</t>
  </si>
  <si>
    <t>Sun, 02 10 22</t>
  </si>
  <si>
    <t>Mon, 03 10 22</t>
  </si>
  <si>
    <t>Tue, 04 10 22</t>
  </si>
  <si>
    <t>Wed, 05 10 22</t>
  </si>
  <si>
    <t>Thu, 06 10 22</t>
  </si>
  <si>
    <t>Fri, 07 10 22</t>
  </si>
  <si>
    <t>Sat, 08 10 22</t>
  </si>
  <si>
    <t>Sun, 09 10 22</t>
  </si>
  <si>
    <t>Mon, 10 10 22</t>
  </si>
  <si>
    <t>Tue, 11 10 22</t>
  </si>
  <si>
    <t>Wed, 12 10 22</t>
  </si>
  <si>
    <t>Thu, 13 10 22</t>
  </si>
  <si>
    <t>Fri, 14 10 22</t>
  </si>
  <si>
    <t>Sat, 15 10 22</t>
  </si>
  <si>
    <t>Sun, 16 10 22</t>
  </si>
  <si>
    <t>Mon, 17 10 22</t>
  </si>
  <si>
    <t>Tue, 18 10 22</t>
  </si>
  <si>
    <t>Wed, 19 10 22</t>
  </si>
  <si>
    <t>Thu, 20 10 22</t>
  </si>
  <si>
    <t>Fri, 21 10 22</t>
  </si>
  <si>
    <t>Sat, 22 10 22</t>
  </si>
  <si>
    <t>Sun, 23 10 22</t>
  </si>
  <si>
    <t>Mon, 24 10 22</t>
  </si>
  <si>
    <t>Tue, 25 10 22</t>
  </si>
  <si>
    <t>Wed, 26 10 22</t>
  </si>
  <si>
    <t>Thu, 27 10 22</t>
  </si>
  <si>
    <t>Fri, 28 10 22</t>
  </si>
  <si>
    <t>Sat, 29 10 22</t>
  </si>
  <si>
    <t>Sun, 30 10 22</t>
  </si>
  <si>
    <t>Mon, 31 10 22</t>
  </si>
  <si>
    <t>Tue, 01 11 22</t>
  </si>
  <si>
    <t>Wed, 02 11 22</t>
  </si>
  <si>
    <t>Thu, 03 11 22</t>
  </si>
  <si>
    <t>Fri, 04 11 22</t>
  </si>
  <si>
    <t>Sat, 05 11 22</t>
  </si>
  <si>
    <t>Sun, 06 11 22</t>
  </si>
  <si>
    <t>Mon, 07 11 22</t>
  </si>
  <si>
    <t>Tue, 08 11 22</t>
  </si>
  <si>
    <t>Wed, 09 11 22</t>
  </si>
  <si>
    <t>Thu, 10 11 22</t>
  </si>
  <si>
    <t>Fri, 11 11 22</t>
  </si>
  <si>
    <t>Sat, 12 11 22</t>
  </si>
  <si>
    <t>Sun, 13 11 22</t>
  </si>
  <si>
    <t>Mon, 14 11 22</t>
  </si>
  <si>
    <t>Tue, 15 11 22</t>
  </si>
  <si>
    <t>Wed, 16 11 22</t>
  </si>
  <si>
    <t>Thu, 17 11 22</t>
  </si>
  <si>
    <t>Fri, 18 11 22</t>
  </si>
  <si>
    <t>Sat, 19 11 22</t>
  </si>
  <si>
    <t>Sun, 20 11 22</t>
  </si>
  <si>
    <t>Mon, 21 11 22</t>
  </si>
  <si>
    <t>Tue, 22 11 22</t>
  </si>
  <si>
    <t>Wed, 23 11 22</t>
  </si>
  <si>
    <t>Thu, 24 11 22</t>
  </si>
  <si>
    <t>Fri, 25 11 22</t>
  </si>
  <si>
    <t>Sat, 26 11 22</t>
  </si>
  <si>
    <t>Sun, 27 11 22</t>
  </si>
  <si>
    <t>Mon, 28 11 22</t>
  </si>
  <si>
    <t>Tue, 29 11 22</t>
  </si>
  <si>
    <t>Wed, 30 11 22</t>
  </si>
  <si>
    <t>Thu, 01 12 22</t>
  </si>
  <si>
    <t>Fri, 02 12 22</t>
  </si>
  <si>
    <t>Sat, 03 12 22</t>
  </si>
  <si>
    <t>Sun, 04 12 22</t>
  </si>
  <si>
    <t>Mon, 05 12 22</t>
  </si>
  <si>
    <t>Tue, 06 12 22</t>
  </si>
  <si>
    <t>Wed, 07 12 22</t>
  </si>
  <si>
    <t>Thu, 08 12 22</t>
  </si>
  <si>
    <t>Fri, 09 12 22</t>
  </si>
  <si>
    <t>Sat, 10 12 22</t>
  </si>
  <si>
    <t>Sun, 11 12 22</t>
  </si>
  <si>
    <t>Mon, 12 12 22</t>
  </si>
  <si>
    <t>Tue, 13 12 22</t>
  </si>
  <si>
    <t>Wed, 14 12 22</t>
  </si>
  <si>
    <t>Thu, 15 12 22</t>
  </si>
  <si>
    <t>Fri, 16 12 22</t>
  </si>
  <si>
    <t>Sat, 17 12 22</t>
  </si>
  <si>
    <t>Sun, 18 12 22</t>
  </si>
  <si>
    <t>Mon, 19 12 22</t>
  </si>
  <si>
    <t>Tue, 20 12 22</t>
  </si>
  <si>
    <t>Wed, 21 12 22</t>
  </si>
  <si>
    <t>Thu, 22 12 22</t>
  </si>
  <si>
    <t>Fri, 23 12 22</t>
  </si>
  <si>
    <t>Sat, 24 12 22</t>
  </si>
  <si>
    <t>Sun, 25 12 22</t>
  </si>
  <si>
    <t>Mon, 26 12 22</t>
  </si>
  <si>
    <t>Tue, 27 12 22</t>
  </si>
  <si>
    <t>Wed, 28 12 22</t>
  </si>
  <si>
    <t>Thu, 29 12 22</t>
  </si>
  <si>
    <t>Fri, 30 12 22</t>
  </si>
  <si>
    <t>Sat, 31 12 22</t>
  </si>
  <si>
    <t>EP</t>
  </si>
  <si>
    <t>EC</t>
  </si>
  <si>
    <t>JP</t>
  </si>
  <si>
    <t>JC</t>
  </si>
  <si>
    <t>STDEV</t>
  </si>
  <si>
    <t>JAN</t>
  </si>
  <si>
    <t>FEB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</si>
  <si>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</si>
  <si>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</si>
  <si>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</si>
  <si>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</si>
  <si>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</si>
  <si>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</si>
  <si>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</si>
  <si>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</si>
  <si>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</si>
  <si>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MAR</t>
  </si>
  <si>
    <t>MIN</t>
  </si>
  <si>
    <t>MAX</t>
  </si>
  <si>
    <t>3.1A</t>
  </si>
  <si>
    <t>3.1B</t>
  </si>
  <si>
    <t>3.1C</t>
  </si>
  <si>
    <t>3.1D</t>
  </si>
  <si>
    <t>SUM</t>
  </si>
  <si>
    <t>AVG</t>
  </si>
  <si>
    <t>MEDIAN</t>
  </si>
  <si>
    <t>Box plot</t>
  </si>
  <si>
    <t>Q1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</si>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</sst>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000"/>
              <a:t>1.1B</a:t>
            </a:r>
          </a:p>
          <a:p>
            <a:pPr>
              <a:defRPr sz="3000"/>
            </a:pPr>
            <a:r>
              <a:rPr lang="en-AU" sz="3000"/>
              <a:t>Line</a:t>
            </a:r>
            <a:r>
              <a:rPr lang="en-AU" sz="3000" baseline="0"/>
              <a:t> Graph</a:t>
            </a:r>
            <a:endParaRPr lang="en-AU" sz="3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'Cycle_and_pedestrian data'!$B$1</c:f>
              <c:strCache>
                <c:ptCount val="1"/>
                <c:pt idx="0">
                  <c:v>Eleanor Schonell Bridge, St Lucia Cyclist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'Cycle_and_pedestrian data'!$A$2:$A$366</c:f>
              <c:strCache>
                <c:ptCount val="365"/>
                <c:pt idx="0">
                  <c:v>Sat, 01 01 22</c:v>
                </c:pt>
                <c:pt idx="1">
                  <c:v>Sun, 02 01 22</c:v>
                </c:pt>
                <c:pt idx="2">
                  <c:v>Mon, 03 01 22</c:v>
                </c:pt>
                <c:pt idx="3">
                  <c:v>Tue, 04 01 22</c:v>
                </c:pt>
                <c:pt idx="4">
                  <c:v>Wed, 05 01 22</c:v>
                </c:pt>
                <c:pt idx="5">
                  <c:v>Thu, 06 01 22</c:v>
                </c:pt>
                <c:pt idx="6">
                  <c:v>Fri, 07 01 22</c:v>
                </c:pt>
                <c:pt idx="7">
                  <c:v>Sat, 08 01 22</c:v>
                </c:pt>
                <c:pt idx="8">
                  <c:v>Sun, 09 01 22</c:v>
                </c:pt>
                <c:pt idx="9">
                  <c:v>Mon, 10 01 22</c:v>
                </c:pt>
                <c:pt idx="10">
                  <c:v>Tue, 11 01 22</c:v>
                </c:pt>
                <c:pt idx="11">
                  <c:v>Wed, 12 01 22</c:v>
                </c:pt>
                <c:pt idx="12">
                  <c:v>Thu, 13 01 22</c:v>
                </c:pt>
                <c:pt idx="13">
                  <c:v>Fri, 14 01 22</c:v>
                </c:pt>
                <c:pt idx="14">
                  <c:v>Sat, 15 01 22</c:v>
                </c:pt>
                <c:pt idx="15">
                  <c:v>Sun, 16 01 22</c:v>
                </c:pt>
                <c:pt idx="16">
                  <c:v>Mon, 17 01 22</c:v>
                </c:pt>
                <c:pt idx="17">
                  <c:v>Tue, 18 01 22</c:v>
                </c:pt>
                <c:pt idx="18">
                  <c:v>Wed, 19 01 22</c:v>
                </c:pt>
                <c:pt idx="19">
                  <c:v>Thu, 20 01 22</c:v>
                </c:pt>
                <c:pt idx="20">
                  <c:v>Fri, 21 01 22</c:v>
                </c:pt>
                <c:pt idx="21">
                  <c:v>Sat, 22 01 22</c:v>
                </c:pt>
                <c:pt idx="22">
                  <c:v>Sun, 23 01 22</c:v>
                </c:pt>
                <c:pt idx="23">
                  <c:v>Mon, 24 01 22</c:v>
                </c:pt>
                <c:pt idx="24">
                  <c:v>Tue, 25 01 22</c:v>
                </c:pt>
                <c:pt idx="25">
                  <c:v>Wed, 26 01 22</c:v>
                </c:pt>
                <c:pt idx="26">
                  <c:v>Thu, 27 01 22</c:v>
                </c:pt>
                <c:pt idx="27">
                  <c:v>Fri, 28 01 22</c:v>
                </c:pt>
                <c:pt idx="28">
                  <c:v>Sat, 29 01 22</c:v>
                </c:pt>
                <c:pt idx="29">
                  <c:v>Sun, 30 01 22</c:v>
                </c:pt>
                <c:pt idx="30">
                  <c:v>Mon, 31 01 22</c:v>
                </c:pt>
                <c:pt idx="31">
                  <c:v>Tue, 01 02 22</c:v>
                </c:pt>
                <c:pt idx="32">
                  <c:v>Wed, 02 02 22</c:v>
                </c:pt>
                <c:pt idx="33">
                  <c:v>Thu, 03 02 22</c:v>
                </c:pt>
                <c:pt idx="34">
                  <c:v>Fri, 04 02 22</c:v>
                </c:pt>
                <c:pt idx="35">
                  <c:v>Sat, 05 02 22</c:v>
                </c:pt>
                <c:pt idx="36">
                  <c:v>Sun, 06 02 22</c:v>
                </c:pt>
                <c:pt idx="37">
                  <c:v>Mon, 07 02 22</c:v>
                </c:pt>
                <c:pt idx="38">
                  <c:v>Tue, 08 02 22</c:v>
                </c:pt>
                <c:pt idx="39">
                  <c:v>Wed, 09 02 22</c:v>
                </c:pt>
                <c:pt idx="40">
                  <c:v>Thu, 10 02 22</c:v>
                </c:pt>
                <c:pt idx="41">
                  <c:v>Fri, 11 02 22</c:v>
                </c:pt>
                <c:pt idx="42">
                  <c:v>Sat, 12 02 22</c:v>
                </c:pt>
                <c:pt idx="43">
                  <c:v>Sun, 13 02 22</c:v>
                </c:pt>
                <c:pt idx="44">
                  <c:v>Mon, 14 02 22</c:v>
                </c:pt>
                <c:pt idx="45">
                  <c:v>Tue, 15 02 22</c:v>
                </c:pt>
                <c:pt idx="46">
                  <c:v>Wed, 16 02 22</c:v>
                </c:pt>
                <c:pt idx="47">
                  <c:v>Thu, 17 02 22</c:v>
                </c:pt>
                <c:pt idx="48">
                  <c:v>Fri, 18 02 22</c:v>
                </c:pt>
                <c:pt idx="49">
                  <c:v>Sat, 19 02 22</c:v>
                </c:pt>
                <c:pt idx="50">
                  <c:v>Sun, 20 02 22</c:v>
                </c:pt>
                <c:pt idx="51">
                  <c:v>Mon, 21 02 22</c:v>
                </c:pt>
                <c:pt idx="52">
                  <c:v>Tue, 22 02 22</c:v>
                </c:pt>
                <c:pt idx="53">
                  <c:v>Wed, 23 02 22</c:v>
                </c:pt>
                <c:pt idx="54">
                  <c:v>Thu, 24 02 22</c:v>
                </c:pt>
                <c:pt idx="55">
                  <c:v>Fri, 25 02 22</c:v>
                </c:pt>
                <c:pt idx="56">
                  <c:v>Sat, 26 02 22</c:v>
                </c:pt>
                <c:pt idx="57">
                  <c:v>Sun, 27 02 22</c:v>
                </c:pt>
                <c:pt idx="58">
                  <c:v>Mon, 28 02 22</c:v>
                </c:pt>
                <c:pt idx="59">
                  <c:v>Tue, 01 03 22</c:v>
                </c:pt>
                <c:pt idx="60">
                  <c:v>Wed, 02 03 22</c:v>
                </c:pt>
                <c:pt idx="61">
                  <c:v>Thu, 03 03 22</c:v>
                </c:pt>
                <c:pt idx="62">
                  <c:v>Fri, 04 03 22</c:v>
                </c:pt>
                <c:pt idx="63">
                  <c:v>Sat, 05 03 22</c:v>
                </c:pt>
                <c:pt idx="64">
                  <c:v>Sun, 06 03 22</c:v>
                </c:pt>
                <c:pt idx="65">
                  <c:v>Mon, 07 03 22</c:v>
                </c:pt>
                <c:pt idx="66">
                  <c:v>Tue, 08 03 22</c:v>
                </c:pt>
                <c:pt idx="67">
                  <c:v>Wed, 09 03 22</c:v>
                </c:pt>
                <c:pt idx="68">
                  <c:v>Thu, 10 03 22</c:v>
                </c:pt>
                <c:pt idx="69">
                  <c:v>Fri, 11 03 22</c:v>
                </c:pt>
                <c:pt idx="70">
                  <c:v>Sat, 12 03 22</c:v>
                </c:pt>
                <c:pt idx="71">
                  <c:v>Sun, 13 03 22</c:v>
                </c:pt>
                <c:pt idx="72">
                  <c:v>Mon, 14 03 22</c:v>
                </c:pt>
                <c:pt idx="73">
                  <c:v>Tue, 15 03 22</c:v>
                </c:pt>
                <c:pt idx="74">
                  <c:v>Wed, 16 03 22</c:v>
                </c:pt>
                <c:pt idx="75">
                  <c:v>Thu, 17 03 22</c:v>
                </c:pt>
                <c:pt idx="76">
                  <c:v>Fri, 18 03 22</c:v>
                </c:pt>
                <c:pt idx="77">
                  <c:v>Sat, 19 03 22</c:v>
                </c:pt>
                <c:pt idx="78">
                  <c:v>Sun, 20 03 22</c:v>
                </c:pt>
                <c:pt idx="79">
                  <c:v>Mon, 21 03 22</c:v>
                </c:pt>
                <c:pt idx="80">
                  <c:v>Tue, 22 03 22</c:v>
                </c:pt>
                <c:pt idx="81">
                  <c:v>Wed, 23 03 22</c:v>
                </c:pt>
                <c:pt idx="82">
                  <c:v>Thu, 24 03 22</c:v>
                </c:pt>
                <c:pt idx="83">
                  <c:v>Fri, 25 03 22</c:v>
                </c:pt>
                <c:pt idx="84">
                  <c:v>Sat, 26 03 22</c:v>
                </c:pt>
                <c:pt idx="85">
                  <c:v>Sun, 27 03 22</c:v>
                </c:pt>
                <c:pt idx="86">
                  <c:v>Mon, 28 03 22</c:v>
                </c:pt>
                <c:pt idx="87">
                  <c:v>Tue, 29 03 22</c:v>
                </c:pt>
                <c:pt idx="88">
                  <c:v>Wed, 30 03 22</c:v>
                </c:pt>
                <c:pt idx="89">
                  <c:v>Thu, 31 03 22</c:v>
                </c:pt>
                <c:pt idx="90">
                  <c:v>Fri, 01 04 22</c:v>
                </c:pt>
                <c:pt idx="91">
                  <c:v>Sat, 02 04 22</c:v>
                </c:pt>
                <c:pt idx="92">
                  <c:v>Sun, 03 04 22</c:v>
                </c:pt>
                <c:pt idx="93">
                  <c:v>Mon, 04 04 22</c:v>
                </c:pt>
                <c:pt idx="94">
                  <c:v>Tue, 05 04 22</c:v>
                </c:pt>
                <c:pt idx="95">
                  <c:v>Wed, 06 04 22</c:v>
                </c:pt>
                <c:pt idx="96">
                  <c:v>Thu, 07 04 22</c:v>
                </c:pt>
                <c:pt idx="97">
                  <c:v>Fri, 08 04 22</c:v>
                </c:pt>
                <c:pt idx="98">
                  <c:v>Sat, 09 04 22</c:v>
                </c:pt>
                <c:pt idx="99">
                  <c:v>Sun, 10 04 22</c:v>
                </c:pt>
                <c:pt idx="100">
                  <c:v>Mon, 11 04 22</c:v>
                </c:pt>
                <c:pt idx="101">
                  <c:v>Tue, 12 04 22</c:v>
                </c:pt>
                <c:pt idx="102">
                  <c:v>Wed, 13 04 22</c:v>
                </c:pt>
                <c:pt idx="103">
                  <c:v>Thu, 14 04 22</c:v>
                </c:pt>
                <c:pt idx="104">
                  <c:v>Fri, 15 04 22</c:v>
                </c:pt>
                <c:pt idx="105">
                  <c:v>Sat, 16 04 22</c:v>
                </c:pt>
                <c:pt idx="106">
                  <c:v>Sun, 17 04 22</c:v>
                </c:pt>
                <c:pt idx="107">
                  <c:v>Mon, 18 04 22</c:v>
                </c:pt>
                <c:pt idx="108">
                  <c:v>Tue, 19 04 22</c:v>
                </c:pt>
                <c:pt idx="109">
                  <c:v>Wed, 20 04 22</c:v>
                </c:pt>
                <c:pt idx="110">
                  <c:v>Thu, 21 04 22</c:v>
                </c:pt>
                <c:pt idx="111">
                  <c:v>Fri, 22 04 22</c:v>
                </c:pt>
                <c:pt idx="112">
                  <c:v>Sat, 23 04 22</c:v>
                </c:pt>
                <c:pt idx="113">
                  <c:v>Sun, 24 04 22</c:v>
                </c:pt>
                <c:pt idx="114">
                  <c:v>Mon, 25 04 22</c:v>
                </c:pt>
                <c:pt idx="115">
                  <c:v>Tue, 26 04 22</c:v>
                </c:pt>
                <c:pt idx="116">
                  <c:v>Wed, 27 04 22</c:v>
                </c:pt>
                <c:pt idx="117">
                  <c:v>Thu, 28 04 22</c:v>
                </c:pt>
                <c:pt idx="118">
                  <c:v>Fri, 29 04 22</c:v>
                </c:pt>
                <c:pt idx="119">
                  <c:v>Sat, 30 04 22</c:v>
                </c:pt>
                <c:pt idx="120">
                  <c:v>Sun, 01 05 22</c:v>
                </c:pt>
                <c:pt idx="121">
                  <c:v>Mon, 02 05 22</c:v>
                </c:pt>
                <c:pt idx="122">
                  <c:v>Tue, 03 05 22</c:v>
                </c:pt>
                <c:pt idx="123">
                  <c:v>Wed, 04 05 22</c:v>
                </c:pt>
                <c:pt idx="124">
                  <c:v>Thu, 05 05 22</c:v>
                </c:pt>
                <c:pt idx="125">
                  <c:v>Fri, 06 05 22</c:v>
                </c:pt>
                <c:pt idx="126">
                  <c:v>Sat, 07 05 22</c:v>
                </c:pt>
                <c:pt idx="127">
                  <c:v>Sun, 08 05 22</c:v>
                </c:pt>
                <c:pt idx="128">
                  <c:v>Mon, 09 05 22</c:v>
                </c:pt>
                <c:pt idx="129">
                  <c:v>Tue, 10 05 22</c:v>
                </c:pt>
                <c:pt idx="130">
                  <c:v>Wed, 11 05 22</c:v>
                </c:pt>
                <c:pt idx="131">
                  <c:v>Thu, 12 05 22</c:v>
                </c:pt>
                <c:pt idx="132">
                  <c:v>Fri, 13 05 22</c:v>
                </c:pt>
                <c:pt idx="133">
                  <c:v>Sat, 14 05 22</c:v>
                </c:pt>
                <c:pt idx="134">
                  <c:v>Sun, 15 05 22</c:v>
                </c:pt>
                <c:pt idx="135">
                  <c:v>Mon, 16 05 22</c:v>
                </c:pt>
                <c:pt idx="136">
                  <c:v>Tue, 17 05 22</c:v>
                </c:pt>
                <c:pt idx="137">
                  <c:v>Wed, 18 05 22</c:v>
                </c:pt>
                <c:pt idx="138">
                  <c:v>Thu, 19 05 22</c:v>
                </c:pt>
                <c:pt idx="139">
                  <c:v>Fri, 20 05 22</c:v>
                </c:pt>
                <c:pt idx="140">
                  <c:v>Sat, 21 05 22</c:v>
                </c:pt>
                <c:pt idx="141">
                  <c:v>Sun, 22 05 22</c:v>
                </c:pt>
                <c:pt idx="142">
                  <c:v>Mon, 23 05 22</c:v>
                </c:pt>
                <c:pt idx="143">
                  <c:v>Tue, 24 05 22</c:v>
                </c:pt>
                <c:pt idx="144">
                  <c:v>Wed, 25 05 22</c:v>
                </c:pt>
                <c:pt idx="145">
                  <c:v>Thu, 26 05 22</c:v>
                </c:pt>
                <c:pt idx="146">
                  <c:v>Fri, 27 05 22</c:v>
                </c:pt>
                <c:pt idx="147">
                  <c:v>Sat, 28 05 22</c:v>
                </c:pt>
                <c:pt idx="148">
                  <c:v>Sun, 29 05 22</c:v>
                </c:pt>
                <c:pt idx="149">
                  <c:v>Mon, 30 05 22</c:v>
                </c:pt>
                <c:pt idx="150">
                  <c:v>Tue, 31 05 22</c:v>
                </c:pt>
                <c:pt idx="151">
                  <c:v>Wed, 01 06 22</c:v>
                </c:pt>
                <c:pt idx="152">
                  <c:v>Thu, 02 06 22</c:v>
                </c:pt>
                <c:pt idx="153">
                  <c:v>Fri, 03 06 22</c:v>
                </c:pt>
                <c:pt idx="154">
                  <c:v>Sat, 04 06 22</c:v>
                </c:pt>
                <c:pt idx="155">
                  <c:v>Sun, 05 06 22</c:v>
                </c:pt>
                <c:pt idx="156">
                  <c:v>Mon, 06 06 22</c:v>
                </c:pt>
                <c:pt idx="157">
                  <c:v>Tue, 07 06 22</c:v>
                </c:pt>
                <c:pt idx="158">
                  <c:v>Wed, 08 06 22</c:v>
                </c:pt>
                <c:pt idx="159">
                  <c:v>Thu, 09 06 22</c:v>
                </c:pt>
                <c:pt idx="160">
                  <c:v>Fri, 10 06 22</c:v>
                </c:pt>
                <c:pt idx="161">
                  <c:v>Sat, 11 06 22</c:v>
                </c:pt>
                <c:pt idx="162">
                  <c:v>Sun, 12 06 22</c:v>
                </c:pt>
                <c:pt idx="163">
                  <c:v>Mon, 13 06 22</c:v>
                </c:pt>
                <c:pt idx="164">
                  <c:v>Tue, 14 06 22</c:v>
                </c:pt>
                <c:pt idx="165">
                  <c:v>Wed, 15 06 22</c:v>
                </c:pt>
                <c:pt idx="166">
                  <c:v>Thu, 16 06 22</c:v>
                </c:pt>
                <c:pt idx="167">
                  <c:v>Fri, 17 06 22</c:v>
                </c:pt>
                <c:pt idx="168">
                  <c:v>Sat, 18 06 22</c:v>
                </c:pt>
                <c:pt idx="169">
                  <c:v>Sun, 19 06 22</c:v>
                </c:pt>
                <c:pt idx="170">
                  <c:v>Mon, 20 06 22</c:v>
                </c:pt>
                <c:pt idx="171">
                  <c:v>Tue, 21 06 22</c:v>
                </c:pt>
                <c:pt idx="172">
                  <c:v>Wed, 22 06 22</c:v>
                </c:pt>
                <c:pt idx="173">
                  <c:v>Thu, 23 06 22</c:v>
                </c:pt>
                <c:pt idx="174">
                  <c:v>Fri, 24 06 22</c:v>
                </c:pt>
                <c:pt idx="175">
                  <c:v>Sat, 25 06 22</c:v>
                </c:pt>
                <c:pt idx="176">
                  <c:v>Sun, 26 06 22</c:v>
                </c:pt>
                <c:pt idx="177">
                  <c:v>Mon, 27 06 22</c:v>
                </c:pt>
                <c:pt idx="178">
                  <c:v>Tue, 28 06 22</c:v>
                </c:pt>
                <c:pt idx="179">
                  <c:v>Wed, 29 06 22</c:v>
                </c:pt>
                <c:pt idx="180">
                  <c:v>Thu, 30 06 22</c:v>
                </c:pt>
                <c:pt idx="181">
                  <c:v>Fri, 01 07 22</c:v>
                </c:pt>
                <c:pt idx="182">
                  <c:v>Sat, 02 07 22</c:v>
                </c:pt>
                <c:pt idx="183">
                  <c:v>Sun, 03 07 22</c:v>
                </c:pt>
                <c:pt idx="184">
                  <c:v>Mon, 04 07 22</c:v>
                </c:pt>
                <c:pt idx="185">
                  <c:v>Tue, 05 07 22</c:v>
                </c:pt>
                <c:pt idx="186">
                  <c:v>Wed, 06 07 22</c:v>
                </c:pt>
                <c:pt idx="187">
                  <c:v>Thu, 07 07 22</c:v>
                </c:pt>
                <c:pt idx="188">
                  <c:v>Fri, 08 07 22</c:v>
                </c:pt>
                <c:pt idx="189">
                  <c:v>Sat, 09 07 22</c:v>
                </c:pt>
                <c:pt idx="190">
                  <c:v>Sun, 10 07 22</c:v>
                </c:pt>
                <c:pt idx="191">
                  <c:v>Mon, 11 07 22</c:v>
                </c:pt>
                <c:pt idx="192">
                  <c:v>Tue, 12 07 22</c:v>
                </c:pt>
                <c:pt idx="193">
                  <c:v>Wed, 13 07 22</c:v>
                </c:pt>
                <c:pt idx="194">
                  <c:v>Thu, 14 07 22</c:v>
                </c:pt>
                <c:pt idx="195">
                  <c:v>Fri, 15 07 22</c:v>
                </c:pt>
                <c:pt idx="196">
                  <c:v>Sat, 16 07 22</c:v>
                </c:pt>
                <c:pt idx="197">
                  <c:v>Sun, 17 07 22</c:v>
                </c:pt>
                <c:pt idx="198">
                  <c:v>Mon, 18 07 22</c:v>
                </c:pt>
                <c:pt idx="199">
                  <c:v>Tue, 19 07 22</c:v>
                </c:pt>
                <c:pt idx="200">
                  <c:v>Wed, 20 07 22</c:v>
                </c:pt>
                <c:pt idx="201">
                  <c:v>Thu, 21 07 22</c:v>
                </c:pt>
                <c:pt idx="202">
                  <c:v>Fri, 22 07 22</c:v>
                </c:pt>
                <c:pt idx="203">
                  <c:v>Sat, 23 07 22</c:v>
                </c:pt>
                <c:pt idx="204">
                  <c:v>Sun, 24 07 22</c:v>
                </c:pt>
                <c:pt idx="205">
                  <c:v>Mon, 25 07 22</c:v>
                </c:pt>
                <c:pt idx="206">
                  <c:v>Tue, 26 07 22</c:v>
                </c:pt>
                <c:pt idx="207">
                  <c:v>Wed, 27 07 22</c:v>
                </c:pt>
                <c:pt idx="208">
                  <c:v>Thu, 28 07 22</c:v>
                </c:pt>
                <c:pt idx="209">
                  <c:v>Fri, 29 07 22</c:v>
                </c:pt>
                <c:pt idx="210">
                  <c:v>Sat, 30 07 22</c:v>
                </c:pt>
                <c:pt idx="211">
                  <c:v>Sun, 31 07 22</c:v>
                </c:pt>
                <c:pt idx="212">
                  <c:v>Mon, 01 08 22</c:v>
                </c:pt>
                <c:pt idx="213">
                  <c:v>Tue, 02 08 22</c:v>
                </c:pt>
                <c:pt idx="214">
                  <c:v>Wed, 03 08 22</c:v>
                </c:pt>
                <c:pt idx="215">
                  <c:v>Thu, 04 08 22</c:v>
                </c:pt>
                <c:pt idx="216">
                  <c:v>Fri, 05 08 22</c:v>
                </c:pt>
                <c:pt idx="217">
                  <c:v>Sat, 06 08 22</c:v>
                </c:pt>
                <c:pt idx="218">
                  <c:v>Sun, 07 08 22</c:v>
                </c:pt>
                <c:pt idx="219">
                  <c:v>Mon, 08 08 22</c:v>
                </c:pt>
                <c:pt idx="220">
                  <c:v>Tue, 09 08 22</c:v>
                </c:pt>
                <c:pt idx="221">
                  <c:v>Wed, 10 08 22</c:v>
                </c:pt>
                <c:pt idx="222">
                  <c:v>Thu, 11 08 22</c:v>
                </c:pt>
                <c:pt idx="223">
                  <c:v>Fri, 12 08 22</c:v>
                </c:pt>
                <c:pt idx="224">
                  <c:v>Sat, 13 08 22</c:v>
                </c:pt>
                <c:pt idx="225">
                  <c:v>Sun, 14 08 22</c:v>
                </c:pt>
                <c:pt idx="226">
                  <c:v>Mon, 15 08 22</c:v>
                </c:pt>
                <c:pt idx="227">
                  <c:v>Tue, 16 08 22</c:v>
                </c:pt>
                <c:pt idx="228">
                  <c:v>Wed, 17 08 22</c:v>
                </c:pt>
                <c:pt idx="229">
                  <c:v>Thu, 18 08 22</c:v>
                </c:pt>
                <c:pt idx="230">
                  <c:v>Fri, 19 08 22</c:v>
                </c:pt>
                <c:pt idx="231">
                  <c:v>Sat, 20 08 22</c:v>
                </c:pt>
                <c:pt idx="232">
                  <c:v>Sun, 21 08 22</c:v>
                </c:pt>
                <c:pt idx="233">
                  <c:v>Mon, 22 08 22</c:v>
                </c:pt>
                <c:pt idx="234">
                  <c:v>Tue, 23 08 22</c:v>
                </c:pt>
                <c:pt idx="235">
                  <c:v>Wed, 24 08 22</c:v>
                </c:pt>
                <c:pt idx="236">
                  <c:v>Thu, 25 08 22</c:v>
                </c:pt>
                <c:pt idx="237">
                  <c:v>Fri, 26 08 22</c:v>
                </c:pt>
                <c:pt idx="238">
                  <c:v>Sat, 27 08 22</c:v>
                </c:pt>
                <c:pt idx="239">
                  <c:v>Sun, 28 08 22</c:v>
                </c:pt>
                <c:pt idx="240">
                  <c:v>Mon, 29 08 22</c:v>
                </c:pt>
                <c:pt idx="241">
                  <c:v>Tue, 30 08 22</c:v>
                </c:pt>
                <c:pt idx="242">
                  <c:v>Wed, 31 08 22</c:v>
                </c:pt>
                <c:pt idx="243">
                  <c:v>Thu, 01 09 22</c:v>
                </c:pt>
                <c:pt idx="244">
                  <c:v>Fri, 02 09 22</c:v>
                </c:pt>
                <c:pt idx="245">
                  <c:v>Sat, 03 09 22</c:v>
                </c:pt>
                <c:pt idx="246">
                  <c:v>Sun, 04 09 22</c:v>
                </c:pt>
                <c:pt idx="247">
                  <c:v>Mon, 05 09 22</c:v>
                </c:pt>
                <c:pt idx="248">
                  <c:v>Tue, 06 09 22</c:v>
                </c:pt>
                <c:pt idx="249">
                  <c:v>Wed, 07 09 22</c:v>
                </c:pt>
                <c:pt idx="250">
                  <c:v>Thu, 08 09 22</c:v>
                </c:pt>
                <c:pt idx="251">
                  <c:v>Fri, 09 09 22</c:v>
                </c:pt>
                <c:pt idx="252">
                  <c:v>Sat, 10 09 22</c:v>
                </c:pt>
                <c:pt idx="253">
                  <c:v>Sun, 11 09 22</c:v>
                </c:pt>
                <c:pt idx="254">
                  <c:v>Mon, 12 09 22</c:v>
                </c:pt>
                <c:pt idx="255">
                  <c:v>Tue, 13 09 22</c:v>
                </c:pt>
                <c:pt idx="256">
                  <c:v>Wed, 14 09 22</c:v>
                </c:pt>
                <c:pt idx="257">
                  <c:v>Thu, 15 09 22</c:v>
                </c:pt>
                <c:pt idx="258">
                  <c:v>Fri, 16 09 22</c:v>
                </c:pt>
                <c:pt idx="259">
                  <c:v>Sat, 17 09 22</c:v>
                </c:pt>
                <c:pt idx="260">
                  <c:v>Sun, 18 09 22</c:v>
                </c:pt>
                <c:pt idx="261">
                  <c:v>Mon, 19 09 22</c:v>
                </c:pt>
                <c:pt idx="262">
                  <c:v>Tue, 20 09 22</c:v>
                </c:pt>
                <c:pt idx="263">
                  <c:v>Wed, 21 09 22</c:v>
                </c:pt>
                <c:pt idx="264">
                  <c:v>Thu, 22 09 22</c:v>
                </c:pt>
                <c:pt idx="265">
                  <c:v>Fri, 23 09 22</c:v>
                </c:pt>
                <c:pt idx="266">
                  <c:v>Sat, 24 09 22</c:v>
                </c:pt>
                <c:pt idx="267">
                  <c:v>Sun, 25 09 22</c:v>
                </c:pt>
                <c:pt idx="268">
                  <c:v>Mon, 26 09 22</c:v>
                </c:pt>
                <c:pt idx="269">
                  <c:v>Tue, 27 09 22</c:v>
                </c:pt>
                <c:pt idx="270">
                  <c:v>Wed, 28 09 22</c:v>
                </c:pt>
                <c:pt idx="271">
                  <c:v>Thu, 29 09 22</c:v>
                </c:pt>
                <c:pt idx="272">
                  <c:v>Fri, 30 09 22</c:v>
                </c:pt>
                <c:pt idx="273">
                  <c:v>Sat, 01 10 22</c:v>
                </c:pt>
                <c:pt idx="274">
                  <c:v>Sun, 02 10 22</c:v>
                </c:pt>
                <c:pt idx="275">
                  <c:v>Mon, 03 10 22</c:v>
                </c:pt>
                <c:pt idx="276">
                  <c:v>Tue, 04 10 22</c:v>
                </c:pt>
                <c:pt idx="277">
                  <c:v>Wed, 05 10 22</c:v>
                </c:pt>
                <c:pt idx="278">
                  <c:v>Thu, 06 10 22</c:v>
                </c:pt>
                <c:pt idx="279">
                  <c:v>Fri, 07 10 22</c:v>
                </c:pt>
                <c:pt idx="280">
                  <c:v>Sat, 08 10 22</c:v>
                </c:pt>
                <c:pt idx="281">
                  <c:v>Sun, 09 10 22</c:v>
                </c:pt>
                <c:pt idx="282">
                  <c:v>Mon, 10 10 22</c:v>
                </c:pt>
                <c:pt idx="283">
                  <c:v>Tue, 11 10 22</c:v>
                </c:pt>
                <c:pt idx="284">
                  <c:v>Wed, 12 10 22</c:v>
                </c:pt>
                <c:pt idx="285">
                  <c:v>Thu, 13 10 22</c:v>
                </c:pt>
                <c:pt idx="286">
                  <c:v>Fri, 14 10 22</c:v>
                </c:pt>
                <c:pt idx="287">
                  <c:v>Sat, 15 10 22</c:v>
                </c:pt>
                <c:pt idx="288">
                  <c:v>Sun, 16 10 22</c:v>
                </c:pt>
                <c:pt idx="289">
                  <c:v>Mon, 17 10 22</c:v>
                </c:pt>
                <c:pt idx="290">
                  <c:v>Tue, 18 10 22</c:v>
                </c:pt>
                <c:pt idx="291">
                  <c:v>Wed, 19 10 22</c:v>
                </c:pt>
                <c:pt idx="292">
                  <c:v>Thu, 20 10 22</c:v>
                </c:pt>
                <c:pt idx="293">
                  <c:v>Fri, 21 10 22</c:v>
                </c:pt>
                <c:pt idx="294">
                  <c:v>Sat, 22 10 22</c:v>
                </c:pt>
                <c:pt idx="295">
                  <c:v>Sun, 23 10 22</c:v>
                </c:pt>
                <c:pt idx="296">
                  <c:v>Mon, 24 10 22</c:v>
                </c:pt>
                <c:pt idx="297">
                  <c:v>Tue, 25 10 22</c:v>
                </c:pt>
                <c:pt idx="298">
                  <c:v>Wed, 26 10 22</c:v>
                </c:pt>
                <c:pt idx="299">
                  <c:v>Thu, 27 10 22</c:v>
                </c:pt>
                <c:pt idx="300">
                  <c:v>Fri, 28 10 22</c:v>
                </c:pt>
                <c:pt idx="301">
                  <c:v>Sat, 29 10 22</c:v>
                </c:pt>
                <c:pt idx="302">
                  <c:v>Sun, 30 10 22</c:v>
                </c:pt>
                <c:pt idx="303">
                  <c:v>Mon, 31 10 22</c:v>
                </c:pt>
                <c:pt idx="304">
                  <c:v>Tue, 01 11 22</c:v>
                </c:pt>
                <c:pt idx="305">
                  <c:v>Wed, 02 11 22</c:v>
                </c:pt>
                <c:pt idx="306">
                  <c:v>Thu, 03 11 22</c:v>
                </c:pt>
                <c:pt idx="307">
                  <c:v>Fri, 04 11 22</c:v>
                </c:pt>
                <c:pt idx="308">
                  <c:v>Sat, 05 11 22</c:v>
                </c:pt>
                <c:pt idx="309">
                  <c:v>Sun, 06 11 22</c:v>
                </c:pt>
                <c:pt idx="310">
                  <c:v>Mon, 07 11 22</c:v>
                </c:pt>
                <c:pt idx="311">
                  <c:v>Tue, 08 11 22</c:v>
                </c:pt>
                <c:pt idx="312">
                  <c:v>Wed, 09 11 22</c:v>
                </c:pt>
                <c:pt idx="313">
                  <c:v>Thu, 10 11 22</c:v>
                </c:pt>
                <c:pt idx="314">
                  <c:v>Fri, 11 11 22</c:v>
                </c:pt>
                <c:pt idx="315">
                  <c:v>Sat, 12 11 22</c:v>
                </c:pt>
                <c:pt idx="316">
                  <c:v>Sun, 13 11 22</c:v>
                </c:pt>
                <c:pt idx="317">
                  <c:v>Mon, 14 11 22</c:v>
                </c:pt>
                <c:pt idx="318">
                  <c:v>Tue, 15 11 22</c:v>
                </c:pt>
                <c:pt idx="319">
                  <c:v>Wed, 16 11 22</c:v>
                </c:pt>
                <c:pt idx="320">
                  <c:v>Thu, 17 11 22</c:v>
                </c:pt>
                <c:pt idx="321">
                  <c:v>Fri, 18 11 22</c:v>
                </c:pt>
                <c:pt idx="322">
                  <c:v>Sat, 19 11 22</c:v>
                </c:pt>
                <c:pt idx="323">
                  <c:v>Sun, 20 11 22</c:v>
                </c:pt>
                <c:pt idx="324">
                  <c:v>Mon, 21 11 22</c:v>
                </c:pt>
                <c:pt idx="325">
                  <c:v>Tue, 22 11 22</c:v>
                </c:pt>
                <c:pt idx="326">
                  <c:v>Wed, 23 11 22</c:v>
                </c:pt>
                <c:pt idx="327">
                  <c:v>Thu, 24 11 22</c:v>
                </c:pt>
                <c:pt idx="328">
                  <c:v>Fri, 25 11 22</c:v>
                </c:pt>
                <c:pt idx="329">
                  <c:v>Sat, 26 11 22</c:v>
                </c:pt>
                <c:pt idx="330">
                  <c:v>Sun, 27 11 22</c:v>
                </c:pt>
                <c:pt idx="331">
                  <c:v>Mon, 28 11 22</c:v>
                </c:pt>
                <c:pt idx="332">
                  <c:v>Tue, 29 11 22</c:v>
                </c:pt>
                <c:pt idx="333">
                  <c:v>Wed, 30 11 22</c:v>
                </c:pt>
                <c:pt idx="334">
                  <c:v>Thu, 01 12 22</c:v>
                </c:pt>
                <c:pt idx="335">
                  <c:v>Fri, 02 12 22</c:v>
                </c:pt>
                <c:pt idx="336">
                  <c:v>Sat, 03 12 22</c:v>
                </c:pt>
                <c:pt idx="337">
                  <c:v>Sun, 04 12 22</c:v>
                </c:pt>
                <c:pt idx="338">
                  <c:v>Mon, 05 12 22</c:v>
                </c:pt>
                <c:pt idx="339">
                  <c:v>Tue, 06 12 22</c:v>
                </c:pt>
                <c:pt idx="340">
                  <c:v>Wed, 07 12 22</c:v>
                </c:pt>
                <c:pt idx="341">
                  <c:v>Thu, 08 12 22</c:v>
                </c:pt>
                <c:pt idx="342">
                  <c:v>Fri, 09 12 22</c:v>
                </c:pt>
                <c:pt idx="343">
                  <c:v>Sat, 10 12 22</c:v>
                </c:pt>
                <c:pt idx="344">
                  <c:v>Sun, 11 12 22</c:v>
                </c:pt>
                <c:pt idx="345">
                  <c:v>Mon, 12 12 22</c:v>
                </c:pt>
                <c:pt idx="346">
                  <c:v>Tue, 13 12 22</c:v>
                </c:pt>
                <c:pt idx="347">
                  <c:v>Wed, 14 12 22</c:v>
                </c:pt>
                <c:pt idx="348">
                  <c:v>Thu, 15 12 22</c:v>
                </c:pt>
                <c:pt idx="349">
                  <c:v>Fri, 16 12 22</c:v>
                </c:pt>
                <c:pt idx="350">
                  <c:v>Sat, 17 12 22</c:v>
                </c:pt>
                <c:pt idx="351">
                  <c:v>Sun, 18 12 22</c:v>
                </c:pt>
                <c:pt idx="352">
                  <c:v>Mon, 19 12 22</c:v>
                </c:pt>
                <c:pt idx="353">
                  <c:v>Tue, 20 12 22</c:v>
                </c:pt>
                <c:pt idx="354">
                  <c:v>Wed, 21 12 22</c:v>
                </c:pt>
                <c:pt idx="355">
                  <c:v>Thu, 22 12 22</c:v>
                </c:pt>
                <c:pt idx="356">
                  <c:v>Fri, 23 12 22</c:v>
                </c:pt>
                <c:pt idx="357">
                  <c:v>Sat, 24 12 22</c:v>
                </c:pt>
                <c:pt idx="358">
                  <c:v>Sun, 25 12 22</c:v>
                </c:pt>
                <c:pt idx="359">
                  <c:v>Mon, 26 12 22</c:v>
                </c:pt>
                <c:pt idx="360">
                  <c:v>Tue, 27 12 22</c:v>
                </c:pt>
                <c:pt idx="361">
                  <c:v>Wed, 28 12 22</c:v>
                </c:pt>
                <c:pt idx="362">
                  <c:v>Thu, 29 12 22</c:v>
                </c:pt>
                <c:pt idx="363">
                  <c:v>Fri, 30 12 22</c:v>
                </c:pt>
                <c:pt idx="364">
                  <c:v>Sat, 31 12 22</c:v>
                </c:pt>
              </c:strCache>
            </c:strRef>
          </c:cat>
          <c:val>
            <c:numRef>
              <c:f>'Cycle_and_pedestrian data'!$B$2:$B$366</c:f>
              <c:numCache>
                <c:formatCode>General</c:formatCode>
                <c:ptCount val="365"/>
                <c:pt idx="0">
                  <c:v>270.39999999999998</c:v>
                </c:pt>
                <c:pt idx="1">
                  <c:v>880.1</c:v>
                </c:pt>
                <c:pt idx="2">
                  <c:v>888.55</c:v>
                </c:pt>
                <c:pt idx="3">
                  <c:v>1041.3</c:v>
                </c:pt>
                <c:pt idx="4">
                  <c:v>1011.4</c:v>
                </c:pt>
                <c:pt idx="5">
                  <c:v>698.75</c:v>
                </c:pt>
                <c:pt idx="6">
                  <c:v>642.85</c:v>
                </c:pt>
                <c:pt idx="7">
                  <c:v>369.2</c:v>
                </c:pt>
                <c:pt idx="8">
                  <c:v>1043.9000000000001</c:v>
                </c:pt>
                <c:pt idx="9">
                  <c:v>1019.2</c:v>
                </c:pt>
                <c:pt idx="10">
                  <c:v>1060.1500000000001</c:v>
                </c:pt>
                <c:pt idx="11">
                  <c:v>1150.5</c:v>
                </c:pt>
                <c:pt idx="12">
                  <c:v>1119.3</c:v>
                </c:pt>
                <c:pt idx="13">
                  <c:v>1076.4000000000001</c:v>
                </c:pt>
                <c:pt idx="14">
                  <c:v>1053</c:v>
                </c:pt>
                <c:pt idx="15">
                  <c:v>943.8</c:v>
                </c:pt>
                <c:pt idx="16">
                  <c:v>1086.8</c:v>
                </c:pt>
                <c:pt idx="17">
                  <c:v>1318.2</c:v>
                </c:pt>
                <c:pt idx="18">
                  <c:v>1151.8</c:v>
                </c:pt>
                <c:pt idx="19">
                  <c:v>449.15</c:v>
                </c:pt>
                <c:pt idx="20">
                  <c:v>1075.0999999999999</c:v>
                </c:pt>
                <c:pt idx="21">
                  <c:v>881.4</c:v>
                </c:pt>
                <c:pt idx="22">
                  <c:v>1250.5999999999999</c:v>
                </c:pt>
                <c:pt idx="23">
                  <c:v>1272.7</c:v>
                </c:pt>
                <c:pt idx="24">
                  <c:v>1398.8</c:v>
                </c:pt>
                <c:pt idx="25">
                  <c:v>738.4</c:v>
                </c:pt>
                <c:pt idx="26">
                  <c:v>1159.5999999999999</c:v>
                </c:pt>
                <c:pt idx="27">
                  <c:v>793.65</c:v>
                </c:pt>
                <c:pt idx="28">
                  <c:v>956.8</c:v>
                </c:pt>
                <c:pt idx="29">
                  <c:v>1162.2</c:v>
                </c:pt>
                <c:pt idx="30">
                  <c:v>1327.95</c:v>
                </c:pt>
                <c:pt idx="31">
                  <c:v>1361.1</c:v>
                </c:pt>
                <c:pt idx="32">
                  <c:v>1146.5999999999999</c:v>
                </c:pt>
                <c:pt idx="33">
                  <c:v>796.25</c:v>
                </c:pt>
                <c:pt idx="34">
                  <c:v>1184.3</c:v>
                </c:pt>
                <c:pt idx="35">
                  <c:v>1083.55</c:v>
                </c:pt>
                <c:pt idx="36">
                  <c:v>1062.75</c:v>
                </c:pt>
                <c:pt idx="37">
                  <c:v>1301.95</c:v>
                </c:pt>
                <c:pt idx="38">
                  <c:v>1641.9</c:v>
                </c:pt>
                <c:pt idx="39">
                  <c:v>1548.95</c:v>
                </c:pt>
                <c:pt idx="40">
                  <c:v>1519.7</c:v>
                </c:pt>
                <c:pt idx="41">
                  <c:v>1464.45</c:v>
                </c:pt>
                <c:pt idx="42">
                  <c:v>901.55</c:v>
                </c:pt>
                <c:pt idx="43">
                  <c:v>1196.6500000000001</c:v>
                </c:pt>
                <c:pt idx="44">
                  <c:v>1210.3</c:v>
                </c:pt>
                <c:pt idx="45">
                  <c:v>1546.35</c:v>
                </c:pt>
                <c:pt idx="46">
                  <c:v>1675.05</c:v>
                </c:pt>
                <c:pt idx="47">
                  <c:v>1631.5</c:v>
                </c:pt>
                <c:pt idx="48">
                  <c:v>1444.95</c:v>
                </c:pt>
                <c:pt idx="49">
                  <c:v>939.25</c:v>
                </c:pt>
                <c:pt idx="50">
                  <c:v>995.8</c:v>
                </c:pt>
                <c:pt idx="51">
                  <c:v>1774.5</c:v>
                </c:pt>
                <c:pt idx="52">
                  <c:v>1667.9</c:v>
                </c:pt>
                <c:pt idx="53">
                  <c:v>676.65</c:v>
                </c:pt>
                <c:pt idx="54">
                  <c:v>817.7</c:v>
                </c:pt>
                <c:pt idx="55">
                  <c:v>276.89999999999998</c:v>
                </c:pt>
                <c:pt idx="56">
                  <c:v>70.2</c:v>
                </c:pt>
                <c:pt idx="57">
                  <c:v>40.299999999999997</c:v>
                </c:pt>
                <c:pt idx="58">
                  <c:v>487.5</c:v>
                </c:pt>
                <c:pt idx="59">
                  <c:v>443.3</c:v>
                </c:pt>
                <c:pt idx="60">
                  <c:v>536.25</c:v>
                </c:pt>
                <c:pt idx="61">
                  <c:v>280.8</c:v>
                </c:pt>
                <c:pt idx="62">
                  <c:v>479.7</c:v>
                </c:pt>
                <c:pt idx="63">
                  <c:v>574.6</c:v>
                </c:pt>
                <c:pt idx="64">
                  <c:v>641.54999999999995</c:v>
                </c:pt>
                <c:pt idx="65">
                  <c:v>1560.65</c:v>
                </c:pt>
                <c:pt idx="66">
                  <c:v>1909.05</c:v>
                </c:pt>
                <c:pt idx="67">
                  <c:v>1463.15</c:v>
                </c:pt>
                <c:pt idx="68">
                  <c:v>1849.25</c:v>
                </c:pt>
                <c:pt idx="69">
                  <c:v>1529.45</c:v>
                </c:pt>
                <c:pt idx="70">
                  <c:v>900.9</c:v>
                </c:pt>
                <c:pt idx="71">
                  <c:v>953.55</c:v>
                </c:pt>
                <c:pt idx="72">
                  <c:v>1805.7</c:v>
                </c:pt>
                <c:pt idx="73">
                  <c:v>2181.4</c:v>
                </c:pt>
                <c:pt idx="74">
                  <c:v>2011.1</c:v>
                </c:pt>
                <c:pt idx="75">
                  <c:v>1895.4</c:v>
                </c:pt>
                <c:pt idx="76">
                  <c:v>1682.2</c:v>
                </c:pt>
                <c:pt idx="77">
                  <c:v>1046.5</c:v>
                </c:pt>
                <c:pt idx="78">
                  <c:v>1059.5</c:v>
                </c:pt>
                <c:pt idx="79">
                  <c:v>1788.8</c:v>
                </c:pt>
                <c:pt idx="80">
                  <c:v>2168.4</c:v>
                </c:pt>
                <c:pt idx="81">
                  <c:v>2060.5</c:v>
                </c:pt>
                <c:pt idx="82">
                  <c:v>1945.45</c:v>
                </c:pt>
                <c:pt idx="83">
                  <c:v>1576.9</c:v>
                </c:pt>
                <c:pt idx="84">
                  <c:v>869.7</c:v>
                </c:pt>
                <c:pt idx="85">
                  <c:v>892.45</c:v>
                </c:pt>
                <c:pt idx="86">
                  <c:v>449.15</c:v>
                </c:pt>
                <c:pt idx="87">
                  <c:v>685.1</c:v>
                </c:pt>
                <c:pt idx="88">
                  <c:v>1198.5999999999999</c:v>
                </c:pt>
                <c:pt idx="89">
                  <c:v>1794.65</c:v>
                </c:pt>
                <c:pt idx="90">
                  <c:v>1587.3</c:v>
                </c:pt>
                <c:pt idx="91">
                  <c:v>1006.2</c:v>
                </c:pt>
                <c:pt idx="92">
                  <c:v>991.25</c:v>
                </c:pt>
                <c:pt idx="93">
                  <c:v>1457.95</c:v>
                </c:pt>
                <c:pt idx="94">
                  <c:v>1745.25</c:v>
                </c:pt>
                <c:pt idx="95">
                  <c:v>1687.4</c:v>
                </c:pt>
                <c:pt idx="96">
                  <c:v>1438.45</c:v>
                </c:pt>
                <c:pt idx="97">
                  <c:v>1341.6</c:v>
                </c:pt>
                <c:pt idx="98">
                  <c:v>570.70000000000005</c:v>
                </c:pt>
                <c:pt idx="99">
                  <c:v>954.2</c:v>
                </c:pt>
                <c:pt idx="100">
                  <c:v>1501.5</c:v>
                </c:pt>
                <c:pt idx="101">
                  <c:v>1576.25</c:v>
                </c:pt>
                <c:pt idx="102">
                  <c:v>1376.05</c:v>
                </c:pt>
                <c:pt idx="103">
                  <c:v>1316.25</c:v>
                </c:pt>
                <c:pt idx="104">
                  <c:v>968.5</c:v>
                </c:pt>
                <c:pt idx="105">
                  <c:v>724.75</c:v>
                </c:pt>
                <c:pt idx="106">
                  <c:v>729.95</c:v>
                </c:pt>
                <c:pt idx="107">
                  <c:v>934.05</c:v>
                </c:pt>
                <c:pt idx="108">
                  <c:v>1461.85</c:v>
                </c:pt>
                <c:pt idx="109">
                  <c:v>1455.35</c:v>
                </c:pt>
                <c:pt idx="110">
                  <c:v>1446.9</c:v>
                </c:pt>
                <c:pt idx="111">
                  <c:v>1322.75</c:v>
                </c:pt>
                <c:pt idx="112">
                  <c:v>720.2</c:v>
                </c:pt>
                <c:pt idx="113">
                  <c:v>588.9</c:v>
                </c:pt>
                <c:pt idx="114">
                  <c:v>183.95</c:v>
                </c:pt>
                <c:pt idx="115">
                  <c:v>1185.5999999999999</c:v>
                </c:pt>
                <c:pt idx="116">
                  <c:v>1567.15</c:v>
                </c:pt>
                <c:pt idx="117">
                  <c:v>1355.25</c:v>
                </c:pt>
                <c:pt idx="118">
                  <c:v>1403.35</c:v>
                </c:pt>
                <c:pt idx="119">
                  <c:v>673.4</c:v>
                </c:pt>
                <c:pt idx="120">
                  <c:v>730.6</c:v>
                </c:pt>
                <c:pt idx="121">
                  <c:v>1064.05</c:v>
                </c:pt>
                <c:pt idx="122">
                  <c:v>1580.15</c:v>
                </c:pt>
                <c:pt idx="123">
                  <c:v>1667.25</c:v>
                </c:pt>
                <c:pt idx="124">
                  <c:v>1545.05</c:v>
                </c:pt>
                <c:pt idx="125">
                  <c:v>681.2</c:v>
                </c:pt>
                <c:pt idx="126">
                  <c:v>713.7</c:v>
                </c:pt>
                <c:pt idx="127">
                  <c:v>555.1</c:v>
                </c:pt>
                <c:pt idx="128">
                  <c:v>681.2</c:v>
                </c:pt>
                <c:pt idx="129">
                  <c:v>1112.8</c:v>
                </c:pt>
                <c:pt idx="130">
                  <c:v>462.8</c:v>
                </c:pt>
                <c:pt idx="131">
                  <c:v>476.45</c:v>
                </c:pt>
                <c:pt idx="132">
                  <c:v>439.4</c:v>
                </c:pt>
                <c:pt idx="133">
                  <c:v>176.8</c:v>
                </c:pt>
                <c:pt idx="134">
                  <c:v>488.8</c:v>
                </c:pt>
                <c:pt idx="135">
                  <c:v>1299.3499999999999</c:v>
                </c:pt>
                <c:pt idx="136">
                  <c:v>1392.3</c:v>
                </c:pt>
                <c:pt idx="137">
                  <c:v>1411.15</c:v>
                </c:pt>
                <c:pt idx="138">
                  <c:v>1327.95</c:v>
                </c:pt>
                <c:pt idx="139">
                  <c:v>1196.6500000000001</c:v>
                </c:pt>
                <c:pt idx="140">
                  <c:v>70.2</c:v>
                </c:pt>
                <c:pt idx="141">
                  <c:v>167.7</c:v>
                </c:pt>
                <c:pt idx="142">
                  <c:v>926.9</c:v>
                </c:pt>
                <c:pt idx="143">
                  <c:v>1232.4000000000001</c:v>
                </c:pt>
                <c:pt idx="144">
                  <c:v>1320.15</c:v>
                </c:pt>
                <c:pt idx="145">
                  <c:v>1315.6</c:v>
                </c:pt>
                <c:pt idx="146">
                  <c:v>1266.2</c:v>
                </c:pt>
                <c:pt idx="147">
                  <c:v>991.25</c:v>
                </c:pt>
                <c:pt idx="148">
                  <c:v>980.85</c:v>
                </c:pt>
                <c:pt idx="149">
                  <c:v>1271.4000000000001</c:v>
                </c:pt>
                <c:pt idx="150">
                  <c:v>1222</c:v>
                </c:pt>
                <c:pt idx="151">
                  <c:v>1263.5999999999999</c:v>
                </c:pt>
                <c:pt idx="152">
                  <c:v>1305.8499999999999</c:v>
                </c:pt>
                <c:pt idx="153">
                  <c:v>1235.6500000000001</c:v>
                </c:pt>
                <c:pt idx="154">
                  <c:v>784.55</c:v>
                </c:pt>
                <c:pt idx="155">
                  <c:v>1040</c:v>
                </c:pt>
                <c:pt idx="156">
                  <c:v>1041.3</c:v>
                </c:pt>
                <c:pt idx="157">
                  <c:v>1262.95</c:v>
                </c:pt>
                <c:pt idx="158">
                  <c:v>1324.7</c:v>
                </c:pt>
                <c:pt idx="159">
                  <c:v>1171.3</c:v>
                </c:pt>
                <c:pt idx="160">
                  <c:v>983.45</c:v>
                </c:pt>
                <c:pt idx="161">
                  <c:v>716.3</c:v>
                </c:pt>
                <c:pt idx="162">
                  <c:v>741</c:v>
                </c:pt>
                <c:pt idx="163">
                  <c:v>1105.6500000000001</c:v>
                </c:pt>
                <c:pt idx="164">
                  <c:v>1255.1500000000001</c:v>
                </c:pt>
                <c:pt idx="165">
                  <c:v>1267.5</c:v>
                </c:pt>
                <c:pt idx="166">
                  <c:v>1278.55</c:v>
                </c:pt>
                <c:pt idx="167">
                  <c:v>1101.75</c:v>
                </c:pt>
                <c:pt idx="168">
                  <c:v>726.05</c:v>
                </c:pt>
                <c:pt idx="169">
                  <c:v>832.65</c:v>
                </c:pt>
                <c:pt idx="170">
                  <c:v>1145.3</c:v>
                </c:pt>
                <c:pt idx="171">
                  <c:v>1256.45</c:v>
                </c:pt>
                <c:pt idx="172">
                  <c:v>1119.3</c:v>
                </c:pt>
                <c:pt idx="173">
                  <c:v>1131</c:v>
                </c:pt>
                <c:pt idx="174">
                  <c:v>947.05</c:v>
                </c:pt>
                <c:pt idx="175">
                  <c:v>767</c:v>
                </c:pt>
                <c:pt idx="176">
                  <c:v>815.75</c:v>
                </c:pt>
                <c:pt idx="177">
                  <c:v>937.95</c:v>
                </c:pt>
                <c:pt idx="178">
                  <c:v>1047.1500000000001</c:v>
                </c:pt>
                <c:pt idx="179">
                  <c:v>933.4</c:v>
                </c:pt>
                <c:pt idx="180">
                  <c:v>882.7</c:v>
                </c:pt>
                <c:pt idx="181">
                  <c:v>295.75</c:v>
                </c:pt>
                <c:pt idx="182">
                  <c:v>87.75</c:v>
                </c:pt>
                <c:pt idx="183">
                  <c:v>717.6</c:v>
                </c:pt>
                <c:pt idx="184">
                  <c:v>692.25</c:v>
                </c:pt>
                <c:pt idx="185">
                  <c:v>313.3</c:v>
                </c:pt>
                <c:pt idx="186">
                  <c:v>584.35</c:v>
                </c:pt>
                <c:pt idx="187">
                  <c:v>1020.5</c:v>
                </c:pt>
                <c:pt idx="188">
                  <c:v>919.1</c:v>
                </c:pt>
                <c:pt idx="189">
                  <c:v>673.4</c:v>
                </c:pt>
                <c:pt idx="190">
                  <c:v>739.05</c:v>
                </c:pt>
                <c:pt idx="191">
                  <c:v>997.1</c:v>
                </c:pt>
                <c:pt idx="192">
                  <c:v>937.3</c:v>
                </c:pt>
                <c:pt idx="193">
                  <c:v>1091.3499999999999</c:v>
                </c:pt>
                <c:pt idx="194">
                  <c:v>1133.5999999999999</c:v>
                </c:pt>
                <c:pt idx="195">
                  <c:v>1086.1500000000001</c:v>
                </c:pt>
                <c:pt idx="196">
                  <c:v>694.85</c:v>
                </c:pt>
                <c:pt idx="197">
                  <c:v>843.7</c:v>
                </c:pt>
                <c:pt idx="198">
                  <c:v>1088.0999999999999</c:v>
                </c:pt>
                <c:pt idx="199">
                  <c:v>1139.45</c:v>
                </c:pt>
                <c:pt idx="200">
                  <c:v>1014</c:v>
                </c:pt>
                <c:pt idx="201">
                  <c:v>609.70000000000005</c:v>
                </c:pt>
                <c:pt idx="202">
                  <c:v>371.8</c:v>
                </c:pt>
                <c:pt idx="203">
                  <c:v>570.04999999999995</c:v>
                </c:pt>
                <c:pt idx="204">
                  <c:v>1011.4</c:v>
                </c:pt>
                <c:pt idx="205">
                  <c:v>1270.0999999999999</c:v>
                </c:pt>
                <c:pt idx="206">
                  <c:v>1418.95</c:v>
                </c:pt>
                <c:pt idx="207">
                  <c:v>1342.9</c:v>
                </c:pt>
                <c:pt idx="208">
                  <c:v>1251.9000000000001</c:v>
                </c:pt>
                <c:pt idx="209">
                  <c:v>1136.8499999999999</c:v>
                </c:pt>
                <c:pt idx="210">
                  <c:v>692.9</c:v>
                </c:pt>
                <c:pt idx="211">
                  <c:v>739.7</c:v>
                </c:pt>
                <c:pt idx="212">
                  <c:v>1038.7</c:v>
                </c:pt>
                <c:pt idx="213">
                  <c:v>1417.65</c:v>
                </c:pt>
                <c:pt idx="214">
                  <c:v>1539.2</c:v>
                </c:pt>
                <c:pt idx="215">
                  <c:v>1415.7</c:v>
                </c:pt>
                <c:pt idx="216">
                  <c:v>1344.85</c:v>
                </c:pt>
                <c:pt idx="217">
                  <c:v>527.15</c:v>
                </c:pt>
                <c:pt idx="218">
                  <c:v>999.05</c:v>
                </c:pt>
                <c:pt idx="219">
                  <c:v>1301.3</c:v>
                </c:pt>
                <c:pt idx="220">
                  <c:v>1396.85</c:v>
                </c:pt>
                <c:pt idx="221">
                  <c:v>960.05</c:v>
                </c:pt>
                <c:pt idx="222">
                  <c:v>1418.95</c:v>
                </c:pt>
                <c:pt idx="223">
                  <c:v>1243.45</c:v>
                </c:pt>
                <c:pt idx="224">
                  <c:v>293.14999999999998</c:v>
                </c:pt>
                <c:pt idx="225">
                  <c:v>900.9</c:v>
                </c:pt>
                <c:pt idx="226">
                  <c:v>1360.45</c:v>
                </c:pt>
                <c:pt idx="227">
                  <c:v>1565.2</c:v>
                </c:pt>
                <c:pt idx="228">
                  <c:v>1582.1</c:v>
                </c:pt>
                <c:pt idx="229">
                  <c:v>1491.1</c:v>
                </c:pt>
                <c:pt idx="230">
                  <c:v>1368.25</c:v>
                </c:pt>
                <c:pt idx="231">
                  <c:v>823.55</c:v>
                </c:pt>
                <c:pt idx="232">
                  <c:v>900.25</c:v>
                </c:pt>
                <c:pt idx="233">
                  <c:v>903</c:v>
                </c:pt>
                <c:pt idx="234">
                  <c:v>732</c:v>
                </c:pt>
                <c:pt idx="235">
                  <c:v>484</c:v>
                </c:pt>
                <c:pt idx="236">
                  <c:v>468</c:v>
                </c:pt>
                <c:pt idx="237">
                  <c:v>498</c:v>
                </c:pt>
                <c:pt idx="238">
                  <c:v>409</c:v>
                </c:pt>
                <c:pt idx="239">
                  <c:v>463</c:v>
                </c:pt>
                <c:pt idx="240">
                  <c:v>392</c:v>
                </c:pt>
                <c:pt idx="241">
                  <c:v>435</c:v>
                </c:pt>
                <c:pt idx="242">
                  <c:v>285</c:v>
                </c:pt>
                <c:pt idx="243">
                  <c:v>393</c:v>
                </c:pt>
                <c:pt idx="244">
                  <c:v>345</c:v>
                </c:pt>
                <c:pt idx="245">
                  <c:v>111</c:v>
                </c:pt>
                <c:pt idx="246">
                  <c:v>435</c:v>
                </c:pt>
                <c:pt idx="247">
                  <c:v>960</c:v>
                </c:pt>
                <c:pt idx="248">
                  <c:v>460</c:v>
                </c:pt>
                <c:pt idx="249">
                  <c:v>486</c:v>
                </c:pt>
                <c:pt idx="250">
                  <c:v>342</c:v>
                </c:pt>
                <c:pt idx="251">
                  <c:v>120</c:v>
                </c:pt>
                <c:pt idx="252">
                  <c:v>370</c:v>
                </c:pt>
                <c:pt idx="253">
                  <c:v>396</c:v>
                </c:pt>
                <c:pt idx="254">
                  <c:v>361</c:v>
                </c:pt>
                <c:pt idx="255">
                  <c:v>455</c:v>
                </c:pt>
                <c:pt idx="256">
                  <c:v>412</c:v>
                </c:pt>
                <c:pt idx="257">
                  <c:v>372</c:v>
                </c:pt>
                <c:pt idx="258">
                  <c:v>174</c:v>
                </c:pt>
                <c:pt idx="259">
                  <c:v>252</c:v>
                </c:pt>
                <c:pt idx="260">
                  <c:v>445</c:v>
                </c:pt>
                <c:pt idx="261">
                  <c:v>403</c:v>
                </c:pt>
                <c:pt idx="262">
                  <c:v>444</c:v>
                </c:pt>
                <c:pt idx="263">
                  <c:v>256</c:v>
                </c:pt>
                <c:pt idx="264">
                  <c:v>58</c:v>
                </c:pt>
                <c:pt idx="265">
                  <c:v>193</c:v>
                </c:pt>
                <c:pt idx="266">
                  <c:v>330</c:v>
                </c:pt>
                <c:pt idx="267">
                  <c:v>448</c:v>
                </c:pt>
                <c:pt idx="268">
                  <c:v>319</c:v>
                </c:pt>
                <c:pt idx="269">
                  <c:v>397</c:v>
                </c:pt>
                <c:pt idx="270">
                  <c:v>333</c:v>
                </c:pt>
                <c:pt idx="271">
                  <c:v>307</c:v>
                </c:pt>
                <c:pt idx="272">
                  <c:v>336</c:v>
                </c:pt>
                <c:pt idx="273">
                  <c:v>282</c:v>
                </c:pt>
                <c:pt idx="274">
                  <c:v>67</c:v>
                </c:pt>
                <c:pt idx="275">
                  <c:v>508</c:v>
                </c:pt>
                <c:pt idx="276">
                  <c:v>570</c:v>
                </c:pt>
                <c:pt idx="277">
                  <c:v>460</c:v>
                </c:pt>
                <c:pt idx="278">
                  <c:v>340</c:v>
                </c:pt>
                <c:pt idx="279">
                  <c:v>338</c:v>
                </c:pt>
                <c:pt idx="280">
                  <c:v>355</c:v>
                </c:pt>
                <c:pt idx="281">
                  <c:v>174</c:v>
                </c:pt>
                <c:pt idx="282">
                  <c:v>317</c:v>
                </c:pt>
                <c:pt idx="283">
                  <c:v>422</c:v>
                </c:pt>
                <c:pt idx="284">
                  <c:v>412</c:v>
                </c:pt>
                <c:pt idx="285">
                  <c:v>388</c:v>
                </c:pt>
                <c:pt idx="286">
                  <c:v>368</c:v>
                </c:pt>
                <c:pt idx="287">
                  <c:v>346</c:v>
                </c:pt>
                <c:pt idx="288">
                  <c:v>404</c:v>
                </c:pt>
                <c:pt idx="289">
                  <c:v>290</c:v>
                </c:pt>
                <c:pt idx="290">
                  <c:v>408</c:v>
                </c:pt>
                <c:pt idx="291">
                  <c:v>210</c:v>
                </c:pt>
                <c:pt idx="292">
                  <c:v>182</c:v>
                </c:pt>
                <c:pt idx="293">
                  <c:v>133</c:v>
                </c:pt>
                <c:pt idx="294">
                  <c:v>52</c:v>
                </c:pt>
                <c:pt idx="295">
                  <c:v>20</c:v>
                </c:pt>
                <c:pt idx="296">
                  <c:v>351</c:v>
                </c:pt>
                <c:pt idx="297">
                  <c:v>229</c:v>
                </c:pt>
                <c:pt idx="298">
                  <c:v>459</c:v>
                </c:pt>
                <c:pt idx="299">
                  <c:v>301</c:v>
                </c:pt>
                <c:pt idx="300">
                  <c:v>170</c:v>
                </c:pt>
                <c:pt idx="301">
                  <c:v>258</c:v>
                </c:pt>
                <c:pt idx="302">
                  <c:v>314</c:v>
                </c:pt>
                <c:pt idx="303">
                  <c:v>324</c:v>
                </c:pt>
                <c:pt idx="304">
                  <c:v>143</c:v>
                </c:pt>
                <c:pt idx="305">
                  <c:v>372</c:v>
                </c:pt>
                <c:pt idx="306">
                  <c:v>359</c:v>
                </c:pt>
                <c:pt idx="307">
                  <c:v>320</c:v>
                </c:pt>
                <c:pt idx="308">
                  <c:v>280</c:v>
                </c:pt>
                <c:pt idx="309">
                  <c:v>338</c:v>
                </c:pt>
                <c:pt idx="310">
                  <c:v>324</c:v>
                </c:pt>
                <c:pt idx="311">
                  <c:v>399</c:v>
                </c:pt>
                <c:pt idx="312">
                  <c:v>438</c:v>
                </c:pt>
                <c:pt idx="313">
                  <c:v>335</c:v>
                </c:pt>
                <c:pt idx="314">
                  <c:v>374</c:v>
                </c:pt>
                <c:pt idx="315">
                  <c:v>329</c:v>
                </c:pt>
                <c:pt idx="316">
                  <c:v>322</c:v>
                </c:pt>
                <c:pt idx="317">
                  <c:v>327</c:v>
                </c:pt>
                <c:pt idx="318">
                  <c:v>408</c:v>
                </c:pt>
                <c:pt idx="319">
                  <c:v>454</c:v>
                </c:pt>
                <c:pt idx="320">
                  <c:v>338</c:v>
                </c:pt>
                <c:pt idx="321">
                  <c:v>338</c:v>
                </c:pt>
                <c:pt idx="322">
                  <c:v>258</c:v>
                </c:pt>
                <c:pt idx="323">
                  <c:v>349</c:v>
                </c:pt>
                <c:pt idx="324">
                  <c:v>259</c:v>
                </c:pt>
                <c:pt idx="325">
                  <c:v>348</c:v>
                </c:pt>
                <c:pt idx="326">
                  <c:v>370</c:v>
                </c:pt>
                <c:pt idx="327">
                  <c:v>308</c:v>
                </c:pt>
                <c:pt idx="328">
                  <c:v>247</c:v>
                </c:pt>
                <c:pt idx="329">
                  <c:v>261</c:v>
                </c:pt>
                <c:pt idx="330">
                  <c:v>275</c:v>
                </c:pt>
                <c:pt idx="331">
                  <c:v>272</c:v>
                </c:pt>
                <c:pt idx="332">
                  <c:v>324</c:v>
                </c:pt>
                <c:pt idx="333">
                  <c:v>266</c:v>
                </c:pt>
                <c:pt idx="334">
                  <c:v>51</c:v>
                </c:pt>
                <c:pt idx="335">
                  <c:v>248</c:v>
                </c:pt>
                <c:pt idx="336">
                  <c:v>259</c:v>
                </c:pt>
                <c:pt idx="337">
                  <c:v>277</c:v>
                </c:pt>
                <c:pt idx="338">
                  <c:v>318</c:v>
                </c:pt>
                <c:pt idx="339">
                  <c:v>356</c:v>
                </c:pt>
                <c:pt idx="340">
                  <c:v>405</c:v>
                </c:pt>
                <c:pt idx="341">
                  <c:v>249</c:v>
                </c:pt>
                <c:pt idx="342">
                  <c:v>370</c:v>
                </c:pt>
                <c:pt idx="343">
                  <c:v>299</c:v>
                </c:pt>
                <c:pt idx="344">
                  <c:v>243</c:v>
                </c:pt>
                <c:pt idx="345">
                  <c:v>299</c:v>
                </c:pt>
                <c:pt idx="346">
                  <c:v>343</c:v>
                </c:pt>
                <c:pt idx="347">
                  <c:v>334</c:v>
                </c:pt>
                <c:pt idx="348">
                  <c:v>255</c:v>
                </c:pt>
                <c:pt idx="349">
                  <c:v>300</c:v>
                </c:pt>
                <c:pt idx="350">
                  <c:v>258</c:v>
                </c:pt>
                <c:pt idx="351">
                  <c:v>239</c:v>
                </c:pt>
                <c:pt idx="352">
                  <c:v>257</c:v>
                </c:pt>
                <c:pt idx="353">
                  <c:v>302</c:v>
                </c:pt>
                <c:pt idx="354">
                  <c:v>299</c:v>
                </c:pt>
                <c:pt idx="355">
                  <c:v>278</c:v>
                </c:pt>
                <c:pt idx="356">
                  <c:v>252</c:v>
                </c:pt>
                <c:pt idx="357">
                  <c:v>266</c:v>
                </c:pt>
                <c:pt idx="358">
                  <c:v>119</c:v>
                </c:pt>
                <c:pt idx="359">
                  <c:v>200</c:v>
                </c:pt>
                <c:pt idx="360">
                  <c:v>247</c:v>
                </c:pt>
                <c:pt idx="361">
                  <c:v>258</c:v>
                </c:pt>
                <c:pt idx="362">
                  <c:v>202</c:v>
                </c:pt>
                <c:pt idx="363">
                  <c:v>146</c:v>
                </c:pt>
                <c:pt idx="364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0-4416-98A2-4F4B8DC96DDD}"/>
            </c:ext>
          </c:extLst>
        </c:ser>
        <c:ser>
          <c:idx val="1"/>
          <c:order val="1"/>
          <c:tx>
            <c:strRef>
              <c:f>'Cycle_and_pedestrian data'!$C$1</c:f>
              <c:strCache>
                <c:ptCount val="1"/>
                <c:pt idx="0">
                  <c:v>Eleanor Schonell Bridge, St Lucia Pedestrian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'Cycle_and_pedestrian data'!$A$2:$A$366</c:f>
              <c:strCache>
                <c:ptCount val="365"/>
                <c:pt idx="0">
                  <c:v>Sat, 01 01 22</c:v>
                </c:pt>
                <c:pt idx="1">
                  <c:v>Sun, 02 01 22</c:v>
                </c:pt>
                <c:pt idx="2">
                  <c:v>Mon, 03 01 22</c:v>
                </c:pt>
                <c:pt idx="3">
                  <c:v>Tue, 04 01 22</c:v>
                </c:pt>
                <c:pt idx="4">
                  <c:v>Wed, 05 01 22</c:v>
                </c:pt>
                <c:pt idx="5">
                  <c:v>Thu, 06 01 22</c:v>
                </c:pt>
                <c:pt idx="6">
                  <c:v>Fri, 07 01 22</c:v>
                </c:pt>
                <c:pt idx="7">
                  <c:v>Sat, 08 01 22</c:v>
                </c:pt>
                <c:pt idx="8">
                  <c:v>Sun, 09 01 22</c:v>
                </c:pt>
                <c:pt idx="9">
                  <c:v>Mon, 10 01 22</c:v>
                </c:pt>
                <c:pt idx="10">
                  <c:v>Tue, 11 01 22</c:v>
                </c:pt>
                <c:pt idx="11">
                  <c:v>Wed, 12 01 22</c:v>
                </c:pt>
                <c:pt idx="12">
                  <c:v>Thu, 13 01 22</c:v>
                </c:pt>
                <c:pt idx="13">
                  <c:v>Fri, 14 01 22</c:v>
                </c:pt>
                <c:pt idx="14">
                  <c:v>Sat, 15 01 22</c:v>
                </c:pt>
                <c:pt idx="15">
                  <c:v>Sun, 16 01 22</c:v>
                </c:pt>
                <c:pt idx="16">
                  <c:v>Mon, 17 01 22</c:v>
                </c:pt>
                <c:pt idx="17">
                  <c:v>Tue, 18 01 22</c:v>
                </c:pt>
                <c:pt idx="18">
                  <c:v>Wed, 19 01 22</c:v>
                </c:pt>
                <c:pt idx="19">
                  <c:v>Thu, 20 01 22</c:v>
                </c:pt>
                <c:pt idx="20">
                  <c:v>Fri, 21 01 22</c:v>
                </c:pt>
                <c:pt idx="21">
                  <c:v>Sat, 22 01 22</c:v>
                </c:pt>
                <c:pt idx="22">
                  <c:v>Sun, 23 01 22</c:v>
                </c:pt>
                <c:pt idx="23">
                  <c:v>Mon, 24 01 22</c:v>
                </c:pt>
                <c:pt idx="24">
                  <c:v>Tue, 25 01 22</c:v>
                </c:pt>
                <c:pt idx="25">
                  <c:v>Wed, 26 01 22</c:v>
                </c:pt>
                <c:pt idx="26">
                  <c:v>Thu, 27 01 22</c:v>
                </c:pt>
                <c:pt idx="27">
                  <c:v>Fri, 28 01 22</c:v>
                </c:pt>
                <c:pt idx="28">
                  <c:v>Sat, 29 01 22</c:v>
                </c:pt>
                <c:pt idx="29">
                  <c:v>Sun, 30 01 22</c:v>
                </c:pt>
                <c:pt idx="30">
                  <c:v>Mon, 31 01 22</c:v>
                </c:pt>
                <c:pt idx="31">
                  <c:v>Tue, 01 02 22</c:v>
                </c:pt>
                <c:pt idx="32">
                  <c:v>Wed, 02 02 22</c:v>
                </c:pt>
                <c:pt idx="33">
                  <c:v>Thu, 03 02 22</c:v>
                </c:pt>
                <c:pt idx="34">
                  <c:v>Fri, 04 02 22</c:v>
                </c:pt>
                <c:pt idx="35">
                  <c:v>Sat, 05 02 22</c:v>
                </c:pt>
                <c:pt idx="36">
                  <c:v>Sun, 06 02 22</c:v>
                </c:pt>
                <c:pt idx="37">
                  <c:v>Mon, 07 02 22</c:v>
                </c:pt>
                <c:pt idx="38">
                  <c:v>Tue, 08 02 22</c:v>
                </c:pt>
                <c:pt idx="39">
                  <c:v>Wed, 09 02 22</c:v>
                </c:pt>
                <c:pt idx="40">
                  <c:v>Thu, 10 02 22</c:v>
                </c:pt>
                <c:pt idx="41">
                  <c:v>Fri, 11 02 22</c:v>
                </c:pt>
                <c:pt idx="42">
                  <c:v>Sat, 12 02 22</c:v>
                </c:pt>
                <c:pt idx="43">
                  <c:v>Sun, 13 02 22</c:v>
                </c:pt>
                <c:pt idx="44">
                  <c:v>Mon, 14 02 22</c:v>
                </c:pt>
                <c:pt idx="45">
                  <c:v>Tue, 15 02 22</c:v>
                </c:pt>
                <c:pt idx="46">
                  <c:v>Wed, 16 02 22</c:v>
                </c:pt>
                <c:pt idx="47">
                  <c:v>Thu, 17 02 22</c:v>
                </c:pt>
                <c:pt idx="48">
                  <c:v>Fri, 18 02 22</c:v>
                </c:pt>
                <c:pt idx="49">
                  <c:v>Sat, 19 02 22</c:v>
                </c:pt>
                <c:pt idx="50">
                  <c:v>Sun, 20 02 22</c:v>
                </c:pt>
                <c:pt idx="51">
                  <c:v>Mon, 21 02 22</c:v>
                </c:pt>
                <c:pt idx="52">
                  <c:v>Tue, 22 02 22</c:v>
                </c:pt>
                <c:pt idx="53">
                  <c:v>Wed, 23 02 22</c:v>
                </c:pt>
                <c:pt idx="54">
                  <c:v>Thu, 24 02 22</c:v>
                </c:pt>
                <c:pt idx="55">
                  <c:v>Fri, 25 02 22</c:v>
                </c:pt>
                <c:pt idx="56">
                  <c:v>Sat, 26 02 22</c:v>
                </c:pt>
                <c:pt idx="57">
                  <c:v>Sun, 27 02 22</c:v>
                </c:pt>
                <c:pt idx="58">
                  <c:v>Mon, 28 02 22</c:v>
                </c:pt>
                <c:pt idx="59">
                  <c:v>Tue, 01 03 22</c:v>
                </c:pt>
                <c:pt idx="60">
                  <c:v>Wed, 02 03 22</c:v>
                </c:pt>
                <c:pt idx="61">
                  <c:v>Thu, 03 03 22</c:v>
                </c:pt>
                <c:pt idx="62">
                  <c:v>Fri, 04 03 22</c:v>
                </c:pt>
                <c:pt idx="63">
                  <c:v>Sat, 05 03 22</c:v>
                </c:pt>
                <c:pt idx="64">
                  <c:v>Sun, 06 03 22</c:v>
                </c:pt>
                <c:pt idx="65">
                  <c:v>Mon, 07 03 22</c:v>
                </c:pt>
                <c:pt idx="66">
                  <c:v>Tue, 08 03 22</c:v>
                </c:pt>
                <c:pt idx="67">
                  <c:v>Wed, 09 03 22</c:v>
                </c:pt>
                <c:pt idx="68">
                  <c:v>Thu, 10 03 22</c:v>
                </c:pt>
                <c:pt idx="69">
                  <c:v>Fri, 11 03 22</c:v>
                </c:pt>
                <c:pt idx="70">
                  <c:v>Sat, 12 03 22</c:v>
                </c:pt>
                <c:pt idx="71">
                  <c:v>Sun, 13 03 22</c:v>
                </c:pt>
                <c:pt idx="72">
                  <c:v>Mon, 14 03 22</c:v>
                </c:pt>
                <c:pt idx="73">
                  <c:v>Tue, 15 03 22</c:v>
                </c:pt>
                <c:pt idx="74">
                  <c:v>Wed, 16 03 22</c:v>
                </c:pt>
                <c:pt idx="75">
                  <c:v>Thu, 17 03 22</c:v>
                </c:pt>
                <c:pt idx="76">
                  <c:v>Fri, 18 03 22</c:v>
                </c:pt>
                <c:pt idx="77">
                  <c:v>Sat, 19 03 22</c:v>
                </c:pt>
                <c:pt idx="78">
                  <c:v>Sun, 20 03 22</c:v>
                </c:pt>
                <c:pt idx="79">
                  <c:v>Mon, 21 03 22</c:v>
                </c:pt>
                <c:pt idx="80">
                  <c:v>Tue, 22 03 22</c:v>
                </c:pt>
                <c:pt idx="81">
                  <c:v>Wed, 23 03 22</c:v>
                </c:pt>
                <c:pt idx="82">
                  <c:v>Thu, 24 03 22</c:v>
                </c:pt>
                <c:pt idx="83">
                  <c:v>Fri, 25 03 22</c:v>
                </c:pt>
                <c:pt idx="84">
                  <c:v>Sat, 26 03 22</c:v>
                </c:pt>
                <c:pt idx="85">
                  <c:v>Sun, 27 03 22</c:v>
                </c:pt>
                <c:pt idx="86">
                  <c:v>Mon, 28 03 22</c:v>
                </c:pt>
                <c:pt idx="87">
                  <c:v>Tue, 29 03 22</c:v>
                </c:pt>
                <c:pt idx="88">
                  <c:v>Wed, 30 03 22</c:v>
                </c:pt>
                <c:pt idx="89">
                  <c:v>Thu, 31 03 22</c:v>
                </c:pt>
                <c:pt idx="90">
                  <c:v>Fri, 01 04 22</c:v>
                </c:pt>
                <c:pt idx="91">
                  <c:v>Sat, 02 04 22</c:v>
                </c:pt>
                <c:pt idx="92">
                  <c:v>Sun, 03 04 22</c:v>
                </c:pt>
                <c:pt idx="93">
                  <c:v>Mon, 04 04 22</c:v>
                </c:pt>
                <c:pt idx="94">
                  <c:v>Tue, 05 04 22</c:v>
                </c:pt>
                <c:pt idx="95">
                  <c:v>Wed, 06 04 22</c:v>
                </c:pt>
                <c:pt idx="96">
                  <c:v>Thu, 07 04 22</c:v>
                </c:pt>
                <c:pt idx="97">
                  <c:v>Fri, 08 04 22</c:v>
                </c:pt>
                <c:pt idx="98">
                  <c:v>Sat, 09 04 22</c:v>
                </c:pt>
                <c:pt idx="99">
                  <c:v>Sun, 10 04 22</c:v>
                </c:pt>
                <c:pt idx="100">
                  <c:v>Mon, 11 04 22</c:v>
                </c:pt>
                <c:pt idx="101">
                  <c:v>Tue, 12 04 22</c:v>
                </c:pt>
                <c:pt idx="102">
                  <c:v>Wed, 13 04 22</c:v>
                </c:pt>
                <c:pt idx="103">
                  <c:v>Thu, 14 04 22</c:v>
                </c:pt>
                <c:pt idx="104">
                  <c:v>Fri, 15 04 22</c:v>
                </c:pt>
                <c:pt idx="105">
                  <c:v>Sat, 16 04 22</c:v>
                </c:pt>
                <c:pt idx="106">
                  <c:v>Sun, 17 04 22</c:v>
                </c:pt>
                <c:pt idx="107">
                  <c:v>Mon, 18 04 22</c:v>
                </c:pt>
                <c:pt idx="108">
                  <c:v>Tue, 19 04 22</c:v>
                </c:pt>
                <c:pt idx="109">
                  <c:v>Wed, 20 04 22</c:v>
                </c:pt>
                <c:pt idx="110">
                  <c:v>Thu, 21 04 22</c:v>
                </c:pt>
                <c:pt idx="111">
                  <c:v>Fri, 22 04 22</c:v>
                </c:pt>
                <c:pt idx="112">
                  <c:v>Sat, 23 04 22</c:v>
                </c:pt>
                <c:pt idx="113">
                  <c:v>Sun, 24 04 22</c:v>
                </c:pt>
                <c:pt idx="114">
                  <c:v>Mon, 25 04 22</c:v>
                </c:pt>
                <c:pt idx="115">
                  <c:v>Tue, 26 04 22</c:v>
                </c:pt>
                <c:pt idx="116">
                  <c:v>Wed, 27 04 22</c:v>
                </c:pt>
                <c:pt idx="117">
                  <c:v>Thu, 28 04 22</c:v>
                </c:pt>
                <c:pt idx="118">
                  <c:v>Fri, 29 04 22</c:v>
                </c:pt>
                <c:pt idx="119">
                  <c:v>Sat, 30 04 22</c:v>
                </c:pt>
                <c:pt idx="120">
                  <c:v>Sun, 01 05 22</c:v>
                </c:pt>
                <c:pt idx="121">
                  <c:v>Mon, 02 05 22</c:v>
                </c:pt>
                <c:pt idx="122">
                  <c:v>Tue, 03 05 22</c:v>
                </c:pt>
                <c:pt idx="123">
                  <c:v>Wed, 04 05 22</c:v>
                </c:pt>
                <c:pt idx="124">
                  <c:v>Thu, 05 05 22</c:v>
                </c:pt>
                <c:pt idx="125">
                  <c:v>Fri, 06 05 22</c:v>
                </c:pt>
                <c:pt idx="126">
                  <c:v>Sat, 07 05 22</c:v>
                </c:pt>
                <c:pt idx="127">
                  <c:v>Sun, 08 05 22</c:v>
                </c:pt>
                <c:pt idx="128">
                  <c:v>Mon, 09 05 22</c:v>
                </c:pt>
                <c:pt idx="129">
                  <c:v>Tue, 10 05 22</c:v>
                </c:pt>
                <c:pt idx="130">
                  <c:v>Wed, 11 05 22</c:v>
                </c:pt>
                <c:pt idx="131">
                  <c:v>Thu, 12 05 22</c:v>
                </c:pt>
                <c:pt idx="132">
                  <c:v>Fri, 13 05 22</c:v>
                </c:pt>
                <c:pt idx="133">
                  <c:v>Sat, 14 05 22</c:v>
                </c:pt>
                <c:pt idx="134">
                  <c:v>Sun, 15 05 22</c:v>
                </c:pt>
                <c:pt idx="135">
                  <c:v>Mon, 16 05 22</c:v>
                </c:pt>
                <c:pt idx="136">
                  <c:v>Tue, 17 05 22</c:v>
                </c:pt>
                <c:pt idx="137">
                  <c:v>Wed, 18 05 22</c:v>
                </c:pt>
                <c:pt idx="138">
                  <c:v>Thu, 19 05 22</c:v>
                </c:pt>
                <c:pt idx="139">
                  <c:v>Fri, 20 05 22</c:v>
                </c:pt>
                <c:pt idx="140">
                  <c:v>Sat, 21 05 22</c:v>
                </c:pt>
                <c:pt idx="141">
                  <c:v>Sun, 22 05 22</c:v>
                </c:pt>
                <c:pt idx="142">
                  <c:v>Mon, 23 05 22</c:v>
                </c:pt>
                <c:pt idx="143">
                  <c:v>Tue, 24 05 22</c:v>
                </c:pt>
                <c:pt idx="144">
                  <c:v>Wed, 25 05 22</c:v>
                </c:pt>
                <c:pt idx="145">
                  <c:v>Thu, 26 05 22</c:v>
                </c:pt>
                <c:pt idx="146">
                  <c:v>Fri, 27 05 22</c:v>
                </c:pt>
                <c:pt idx="147">
                  <c:v>Sat, 28 05 22</c:v>
                </c:pt>
                <c:pt idx="148">
                  <c:v>Sun, 29 05 22</c:v>
                </c:pt>
                <c:pt idx="149">
                  <c:v>Mon, 30 05 22</c:v>
                </c:pt>
                <c:pt idx="150">
                  <c:v>Tue, 31 05 22</c:v>
                </c:pt>
                <c:pt idx="151">
                  <c:v>Wed, 01 06 22</c:v>
                </c:pt>
                <c:pt idx="152">
                  <c:v>Thu, 02 06 22</c:v>
                </c:pt>
                <c:pt idx="153">
                  <c:v>Fri, 03 06 22</c:v>
                </c:pt>
                <c:pt idx="154">
                  <c:v>Sat, 04 06 22</c:v>
                </c:pt>
                <c:pt idx="155">
                  <c:v>Sun, 05 06 22</c:v>
                </c:pt>
                <c:pt idx="156">
                  <c:v>Mon, 06 06 22</c:v>
                </c:pt>
                <c:pt idx="157">
                  <c:v>Tue, 07 06 22</c:v>
                </c:pt>
                <c:pt idx="158">
                  <c:v>Wed, 08 06 22</c:v>
                </c:pt>
                <c:pt idx="159">
                  <c:v>Thu, 09 06 22</c:v>
                </c:pt>
                <c:pt idx="160">
                  <c:v>Fri, 10 06 22</c:v>
                </c:pt>
                <c:pt idx="161">
                  <c:v>Sat, 11 06 22</c:v>
                </c:pt>
                <c:pt idx="162">
                  <c:v>Sun, 12 06 22</c:v>
                </c:pt>
                <c:pt idx="163">
                  <c:v>Mon, 13 06 22</c:v>
                </c:pt>
                <c:pt idx="164">
                  <c:v>Tue, 14 06 22</c:v>
                </c:pt>
                <c:pt idx="165">
                  <c:v>Wed, 15 06 22</c:v>
                </c:pt>
                <c:pt idx="166">
                  <c:v>Thu, 16 06 22</c:v>
                </c:pt>
                <c:pt idx="167">
                  <c:v>Fri, 17 06 22</c:v>
                </c:pt>
                <c:pt idx="168">
                  <c:v>Sat, 18 06 22</c:v>
                </c:pt>
                <c:pt idx="169">
                  <c:v>Sun, 19 06 22</c:v>
                </c:pt>
                <c:pt idx="170">
                  <c:v>Mon, 20 06 22</c:v>
                </c:pt>
                <c:pt idx="171">
                  <c:v>Tue, 21 06 22</c:v>
                </c:pt>
                <c:pt idx="172">
                  <c:v>Wed, 22 06 22</c:v>
                </c:pt>
                <c:pt idx="173">
                  <c:v>Thu, 23 06 22</c:v>
                </c:pt>
                <c:pt idx="174">
                  <c:v>Fri, 24 06 22</c:v>
                </c:pt>
                <c:pt idx="175">
                  <c:v>Sat, 25 06 22</c:v>
                </c:pt>
                <c:pt idx="176">
                  <c:v>Sun, 26 06 22</c:v>
                </c:pt>
                <c:pt idx="177">
                  <c:v>Mon, 27 06 22</c:v>
                </c:pt>
                <c:pt idx="178">
                  <c:v>Tue, 28 06 22</c:v>
                </c:pt>
                <c:pt idx="179">
                  <c:v>Wed, 29 06 22</c:v>
                </c:pt>
                <c:pt idx="180">
                  <c:v>Thu, 30 06 22</c:v>
                </c:pt>
                <c:pt idx="181">
                  <c:v>Fri, 01 07 22</c:v>
                </c:pt>
                <c:pt idx="182">
                  <c:v>Sat, 02 07 22</c:v>
                </c:pt>
                <c:pt idx="183">
                  <c:v>Sun, 03 07 22</c:v>
                </c:pt>
                <c:pt idx="184">
                  <c:v>Mon, 04 07 22</c:v>
                </c:pt>
                <c:pt idx="185">
                  <c:v>Tue, 05 07 22</c:v>
                </c:pt>
                <c:pt idx="186">
                  <c:v>Wed, 06 07 22</c:v>
                </c:pt>
                <c:pt idx="187">
                  <c:v>Thu, 07 07 22</c:v>
                </c:pt>
                <c:pt idx="188">
                  <c:v>Fri, 08 07 22</c:v>
                </c:pt>
                <c:pt idx="189">
                  <c:v>Sat, 09 07 22</c:v>
                </c:pt>
                <c:pt idx="190">
                  <c:v>Sun, 10 07 22</c:v>
                </c:pt>
                <c:pt idx="191">
                  <c:v>Mon, 11 07 22</c:v>
                </c:pt>
                <c:pt idx="192">
                  <c:v>Tue, 12 07 22</c:v>
                </c:pt>
                <c:pt idx="193">
                  <c:v>Wed, 13 07 22</c:v>
                </c:pt>
                <c:pt idx="194">
                  <c:v>Thu, 14 07 22</c:v>
                </c:pt>
                <c:pt idx="195">
                  <c:v>Fri, 15 07 22</c:v>
                </c:pt>
                <c:pt idx="196">
                  <c:v>Sat, 16 07 22</c:v>
                </c:pt>
                <c:pt idx="197">
                  <c:v>Sun, 17 07 22</c:v>
                </c:pt>
                <c:pt idx="198">
                  <c:v>Mon, 18 07 22</c:v>
                </c:pt>
                <c:pt idx="199">
                  <c:v>Tue, 19 07 22</c:v>
                </c:pt>
                <c:pt idx="200">
                  <c:v>Wed, 20 07 22</c:v>
                </c:pt>
                <c:pt idx="201">
                  <c:v>Thu, 21 07 22</c:v>
                </c:pt>
                <c:pt idx="202">
                  <c:v>Fri, 22 07 22</c:v>
                </c:pt>
                <c:pt idx="203">
                  <c:v>Sat, 23 07 22</c:v>
                </c:pt>
                <c:pt idx="204">
                  <c:v>Sun, 24 07 22</c:v>
                </c:pt>
                <c:pt idx="205">
                  <c:v>Mon, 25 07 22</c:v>
                </c:pt>
                <c:pt idx="206">
                  <c:v>Tue, 26 07 22</c:v>
                </c:pt>
                <c:pt idx="207">
                  <c:v>Wed, 27 07 22</c:v>
                </c:pt>
                <c:pt idx="208">
                  <c:v>Thu, 28 07 22</c:v>
                </c:pt>
                <c:pt idx="209">
                  <c:v>Fri, 29 07 22</c:v>
                </c:pt>
                <c:pt idx="210">
                  <c:v>Sat, 30 07 22</c:v>
                </c:pt>
                <c:pt idx="211">
                  <c:v>Sun, 31 07 22</c:v>
                </c:pt>
                <c:pt idx="212">
                  <c:v>Mon, 01 08 22</c:v>
                </c:pt>
                <c:pt idx="213">
                  <c:v>Tue, 02 08 22</c:v>
                </c:pt>
                <c:pt idx="214">
                  <c:v>Wed, 03 08 22</c:v>
                </c:pt>
                <c:pt idx="215">
                  <c:v>Thu, 04 08 22</c:v>
                </c:pt>
                <c:pt idx="216">
                  <c:v>Fri, 05 08 22</c:v>
                </c:pt>
                <c:pt idx="217">
                  <c:v>Sat, 06 08 22</c:v>
                </c:pt>
                <c:pt idx="218">
                  <c:v>Sun, 07 08 22</c:v>
                </c:pt>
                <c:pt idx="219">
                  <c:v>Mon, 08 08 22</c:v>
                </c:pt>
                <c:pt idx="220">
                  <c:v>Tue, 09 08 22</c:v>
                </c:pt>
                <c:pt idx="221">
                  <c:v>Wed, 10 08 22</c:v>
                </c:pt>
                <c:pt idx="222">
                  <c:v>Thu, 11 08 22</c:v>
                </c:pt>
                <c:pt idx="223">
                  <c:v>Fri, 12 08 22</c:v>
                </c:pt>
                <c:pt idx="224">
                  <c:v>Sat, 13 08 22</c:v>
                </c:pt>
                <c:pt idx="225">
                  <c:v>Sun, 14 08 22</c:v>
                </c:pt>
                <c:pt idx="226">
                  <c:v>Mon, 15 08 22</c:v>
                </c:pt>
                <c:pt idx="227">
                  <c:v>Tue, 16 08 22</c:v>
                </c:pt>
                <c:pt idx="228">
                  <c:v>Wed, 17 08 22</c:v>
                </c:pt>
                <c:pt idx="229">
                  <c:v>Thu, 18 08 22</c:v>
                </c:pt>
                <c:pt idx="230">
                  <c:v>Fri, 19 08 22</c:v>
                </c:pt>
                <c:pt idx="231">
                  <c:v>Sat, 20 08 22</c:v>
                </c:pt>
                <c:pt idx="232">
                  <c:v>Sun, 21 08 22</c:v>
                </c:pt>
                <c:pt idx="233">
                  <c:v>Mon, 22 08 22</c:v>
                </c:pt>
                <c:pt idx="234">
                  <c:v>Tue, 23 08 22</c:v>
                </c:pt>
                <c:pt idx="235">
                  <c:v>Wed, 24 08 22</c:v>
                </c:pt>
                <c:pt idx="236">
                  <c:v>Thu, 25 08 22</c:v>
                </c:pt>
                <c:pt idx="237">
                  <c:v>Fri, 26 08 22</c:v>
                </c:pt>
                <c:pt idx="238">
                  <c:v>Sat, 27 08 22</c:v>
                </c:pt>
                <c:pt idx="239">
                  <c:v>Sun, 28 08 22</c:v>
                </c:pt>
                <c:pt idx="240">
                  <c:v>Mon, 29 08 22</c:v>
                </c:pt>
                <c:pt idx="241">
                  <c:v>Tue, 30 08 22</c:v>
                </c:pt>
                <c:pt idx="242">
                  <c:v>Wed, 31 08 22</c:v>
                </c:pt>
                <c:pt idx="243">
                  <c:v>Thu, 01 09 22</c:v>
                </c:pt>
                <c:pt idx="244">
                  <c:v>Fri, 02 09 22</c:v>
                </c:pt>
                <c:pt idx="245">
                  <c:v>Sat, 03 09 22</c:v>
                </c:pt>
                <c:pt idx="246">
                  <c:v>Sun, 04 09 22</c:v>
                </c:pt>
                <c:pt idx="247">
                  <c:v>Mon, 05 09 22</c:v>
                </c:pt>
                <c:pt idx="248">
                  <c:v>Tue, 06 09 22</c:v>
                </c:pt>
                <c:pt idx="249">
                  <c:v>Wed, 07 09 22</c:v>
                </c:pt>
                <c:pt idx="250">
                  <c:v>Thu, 08 09 22</c:v>
                </c:pt>
                <c:pt idx="251">
                  <c:v>Fri, 09 09 22</c:v>
                </c:pt>
                <c:pt idx="252">
                  <c:v>Sat, 10 09 22</c:v>
                </c:pt>
                <c:pt idx="253">
                  <c:v>Sun, 11 09 22</c:v>
                </c:pt>
                <c:pt idx="254">
                  <c:v>Mon, 12 09 22</c:v>
                </c:pt>
                <c:pt idx="255">
                  <c:v>Tue, 13 09 22</c:v>
                </c:pt>
                <c:pt idx="256">
                  <c:v>Wed, 14 09 22</c:v>
                </c:pt>
                <c:pt idx="257">
                  <c:v>Thu, 15 09 22</c:v>
                </c:pt>
                <c:pt idx="258">
                  <c:v>Fri, 16 09 22</c:v>
                </c:pt>
                <c:pt idx="259">
                  <c:v>Sat, 17 09 22</c:v>
                </c:pt>
                <c:pt idx="260">
                  <c:v>Sun, 18 09 22</c:v>
                </c:pt>
                <c:pt idx="261">
                  <c:v>Mon, 19 09 22</c:v>
                </c:pt>
                <c:pt idx="262">
                  <c:v>Tue, 20 09 22</c:v>
                </c:pt>
                <c:pt idx="263">
                  <c:v>Wed, 21 09 22</c:v>
                </c:pt>
                <c:pt idx="264">
                  <c:v>Thu, 22 09 22</c:v>
                </c:pt>
                <c:pt idx="265">
                  <c:v>Fri, 23 09 22</c:v>
                </c:pt>
                <c:pt idx="266">
                  <c:v>Sat, 24 09 22</c:v>
                </c:pt>
                <c:pt idx="267">
                  <c:v>Sun, 25 09 22</c:v>
                </c:pt>
                <c:pt idx="268">
                  <c:v>Mon, 26 09 22</c:v>
                </c:pt>
                <c:pt idx="269">
                  <c:v>Tue, 27 09 22</c:v>
                </c:pt>
                <c:pt idx="270">
                  <c:v>Wed, 28 09 22</c:v>
                </c:pt>
                <c:pt idx="271">
                  <c:v>Thu, 29 09 22</c:v>
                </c:pt>
                <c:pt idx="272">
                  <c:v>Fri, 30 09 22</c:v>
                </c:pt>
                <c:pt idx="273">
                  <c:v>Sat, 01 10 22</c:v>
                </c:pt>
                <c:pt idx="274">
                  <c:v>Sun, 02 10 22</c:v>
                </c:pt>
                <c:pt idx="275">
                  <c:v>Mon, 03 10 22</c:v>
                </c:pt>
                <c:pt idx="276">
                  <c:v>Tue, 04 10 22</c:v>
                </c:pt>
                <c:pt idx="277">
                  <c:v>Wed, 05 10 22</c:v>
                </c:pt>
                <c:pt idx="278">
                  <c:v>Thu, 06 10 22</c:v>
                </c:pt>
                <c:pt idx="279">
                  <c:v>Fri, 07 10 22</c:v>
                </c:pt>
                <c:pt idx="280">
                  <c:v>Sat, 08 10 22</c:v>
                </c:pt>
                <c:pt idx="281">
                  <c:v>Sun, 09 10 22</c:v>
                </c:pt>
                <c:pt idx="282">
                  <c:v>Mon, 10 10 22</c:v>
                </c:pt>
                <c:pt idx="283">
                  <c:v>Tue, 11 10 22</c:v>
                </c:pt>
                <c:pt idx="284">
                  <c:v>Wed, 12 10 22</c:v>
                </c:pt>
                <c:pt idx="285">
                  <c:v>Thu, 13 10 22</c:v>
                </c:pt>
                <c:pt idx="286">
                  <c:v>Fri, 14 10 22</c:v>
                </c:pt>
                <c:pt idx="287">
                  <c:v>Sat, 15 10 22</c:v>
                </c:pt>
                <c:pt idx="288">
                  <c:v>Sun, 16 10 22</c:v>
                </c:pt>
                <c:pt idx="289">
                  <c:v>Mon, 17 10 22</c:v>
                </c:pt>
                <c:pt idx="290">
                  <c:v>Tue, 18 10 22</c:v>
                </c:pt>
                <c:pt idx="291">
                  <c:v>Wed, 19 10 22</c:v>
                </c:pt>
                <c:pt idx="292">
                  <c:v>Thu, 20 10 22</c:v>
                </c:pt>
                <c:pt idx="293">
                  <c:v>Fri, 21 10 22</c:v>
                </c:pt>
                <c:pt idx="294">
                  <c:v>Sat, 22 10 22</c:v>
                </c:pt>
                <c:pt idx="295">
                  <c:v>Sun, 23 10 22</c:v>
                </c:pt>
                <c:pt idx="296">
                  <c:v>Mon, 24 10 22</c:v>
                </c:pt>
                <c:pt idx="297">
                  <c:v>Tue, 25 10 22</c:v>
                </c:pt>
                <c:pt idx="298">
                  <c:v>Wed, 26 10 22</c:v>
                </c:pt>
                <c:pt idx="299">
                  <c:v>Thu, 27 10 22</c:v>
                </c:pt>
                <c:pt idx="300">
                  <c:v>Fri, 28 10 22</c:v>
                </c:pt>
                <c:pt idx="301">
                  <c:v>Sat, 29 10 22</c:v>
                </c:pt>
                <c:pt idx="302">
                  <c:v>Sun, 30 10 22</c:v>
                </c:pt>
                <c:pt idx="303">
                  <c:v>Mon, 31 10 22</c:v>
                </c:pt>
                <c:pt idx="304">
                  <c:v>Tue, 01 11 22</c:v>
                </c:pt>
                <c:pt idx="305">
                  <c:v>Wed, 02 11 22</c:v>
                </c:pt>
                <c:pt idx="306">
                  <c:v>Thu, 03 11 22</c:v>
                </c:pt>
                <c:pt idx="307">
                  <c:v>Fri, 04 11 22</c:v>
                </c:pt>
                <c:pt idx="308">
                  <c:v>Sat, 05 11 22</c:v>
                </c:pt>
                <c:pt idx="309">
                  <c:v>Sun, 06 11 22</c:v>
                </c:pt>
                <c:pt idx="310">
                  <c:v>Mon, 07 11 22</c:v>
                </c:pt>
                <c:pt idx="311">
                  <c:v>Tue, 08 11 22</c:v>
                </c:pt>
                <c:pt idx="312">
                  <c:v>Wed, 09 11 22</c:v>
                </c:pt>
                <c:pt idx="313">
                  <c:v>Thu, 10 11 22</c:v>
                </c:pt>
                <c:pt idx="314">
                  <c:v>Fri, 11 11 22</c:v>
                </c:pt>
                <c:pt idx="315">
                  <c:v>Sat, 12 11 22</c:v>
                </c:pt>
                <c:pt idx="316">
                  <c:v>Sun, 13 11 22</c:v>
                </c:pt>
                <c:pt idx="317">
                  <c:v>Mon, 14 11 22</c:v>
                </c:pt>
                <c:pt idx="318">
                  <c:v>Tue, 15 11 22</c:v>
                </c:pt>
                <c:pt idx="319">
                  <c:v>Wed, 16 11 22</c:v>
                </c:pt>
                <c:pt idx="320">
                  <c:v>Thu, 17 11 22</c:v>
                </c:pt>
                <c:pt idx="321">
                  <c:v>Fri, 18 11 22</c:v>
                </c:pt>
                <c:pt idx="322">
                  <c:v>Sat, 19 11 22</c:v>
                </c:pt>
                <c:pt idx="323">
                  <c:v>Sun, 20 11 22</c:v>
                </c:pt>
                <c:pt idx="324">
                  <c:v>Mon, 21 11 22</c:v>
                </c:pt>
                <c:pt idx="325">
                  <c:v>Tue, 22 11 22</c:v>
                </c:pt>
                <c:pt idx="326">
                  <c:v>Wed, 23 11 22</c:v>
                </c:pt>
                <c:pt idx="327">
                  <c:v>Thu, 24 11 22</c:v>
                </c:pt>
                <c:pt idx="328">
                  <c:v>Fri, 25 11 22</c:v>
                </c:pt>
                <c:pt idx="329">
                  <c:v>Sat, 26 11 22</c:v>
                </c:pt>
                <c:pt idx="330">
                  <c:v>Sun, 27 11 22</c:v>
                </c:pt>
                <c:pt idx="331">
                  <c:v>Mon, 28 11 22</c:v>
                </c:pt>
                <c:pt idx="332">
                  <c:v>Tue, 29 11 22</c:v>
                </c:pt>
                <c:pt idx="333">
                  <c:v>Wed, 30 11 22</c:v>
                </c:pt>
                <c:pt idx="334">
                  <c:v>Thu, 01 12 22</c:v>
                </c:pt>
                <c:pt idx="335">
                  <c:v>Fri, 02 12 22</c:v>
                </c:pt>
                <c:pt idx="336">
                  <c:v>Sat, 03 12 22</c:v>
                </c:pt>
                <c:pt idx="337">
                  <c:v>Sun, 04 12 22</c:v>
                </c:pt>
                <c:pt idx="338">
                  <c:v>Mon, 05 12 22</c:v>
                </c:pt>
                <c:pt idx="339">
                  <c:v>Tue, 06 12 22</c:v>
                </c:pt>
                <c:pt idx="340">
                  <c:v>Wed, 07 12 22</c:v>
                </c:pt>
                <c:pt idx="341">
                  <c:v>Thu, 08 12 22</c:v>
                </c:pt>
                <c:pt idx="342">
                  <c:v>Fri, 09 12 22</c:v>
                </c:pt>
                <c:pt idx="343">
                  <c:v>Sat, 10 12 22</c:v>
                </c:pt>
                <c:pt idx="344">
                  <c:v>Sun, 11 12 22</c:v>
                </c:pt>
                <c:pt idx="345">
                  <c:v>Mon, 12 12 22</c:v>
                </c:pt>
                <c:pt idx="346">
                  <c:v>Tue, 13 12 22</c:v>
                </c:pt>
                <c:pt idx="347">
                  <c:v>Wed, 14 12 22</c:v>
                </c:pt>
                <c:pt idx="348">
                  <c:v>Thu, 15 12 22</c:v>
                </c:pt>
                <c:pt idx="349">
                  <c:v>Fri, 16 12 22</c:v>
                </c:pt>
                <c:pt idx="350">
                  <c:v>Sat, 17 12 22</c:v>
                </c:pt>
                <c:pt idx="351">
                  <c:v>Sun, 18 12 22</c:v>
                </c:pt>
                <c:pt idx="352">
                  <c:v>Mon, 19 12 22</c:v>
                </c:pt>
                <c:pt idx="353">
                  <c:v>Tue, 20 12 22</c:v>
                </c:pt>
                <c:pt idx="354">
                  <c:v>Wed, 21 12 22</c:v>
                </c:pt>
                <c:pt idx="355">
                  <c:v>Thu, 22 12 22</c:v>
                </c:pt>
                <c:pt idx="356">
                  <c:v>Fri, 23 12 22</c:v>
                </c:pt>
                <c:pt idx="357">
                  <c:v>Sat, 24 12 22</c:v>
                </c:pt>
                <c:pt idx="358">
                  <c:v>Sun, 25 12 22</c:v>
                </c:pt>
                <c:pt idx="359">
                  <c:v>Mon, 26 12 22</c:v>
                </c:pt>
                <c:pt idx="360">
                  <c:v>Tue, 27 12 22</c:v>
                </c:pt>
                <c:pt idx="361">
                  <c:v>Wed, 28 12 22</c:v>
                </c:pt>
                <c:pt idx="362">
                  <c:v>Thu, 29 12 22</c:v>
                </c:pt>
                <c:pt idx="363">
                  <c:v>Fri, 30 12 22</c:v>
                </c:pt>
                <c:pt idx="364">
                  <c:v>Sat, 31 12 22</c:v>
                </c:pt>
              </c:strCache>
            </c:strRef>
          </c:cat>
          <c:val>
            <c:numRef>
              <c:f>'Cycle_and_pedestrian data'!$C$2:$C$366</c:f>
              <c:numCache>
                <c:formatCode>General</c:formatCode>
                <c:ptCount val="365"/>
                <c:pt idx="0">
                  <c:v>806</c:v>
                </c:pt>
                <c:pt idx="1">
                  <c:v>782</c:v>
                </c:pt>
                <c:pt idx="2">
                  <c:v>692</c:v>
                </c:pt>
                <c:pt idx="3">
                  <c:v>681</c:v>
                </c:pt>
                <c:pt idx="4">
                  <c:v>766</c:v>
                </c:pt>
                <c:pt idx="5">
                  <c:v>693</c:v>
                </c:pt>
                <c:pt idx="6">
                  <c:v>600</c:v>
                </c:pt>
                <c:pt idx="7">
                  <c:v>562</c:v>
                </c:pt>
                <c:pt idx="8">
                  <c:v>837</c:v>
                </c:pt>
                <c:pt idx="9">
                  <c:v>823</c:v>
                </c:pt>
                <c:pt idx="10">
                  <c:v>945</c:v>
                </c:pt>
                <c:pt idx="11">
                  <c:v>869</c:v>
                </c:pt>
                <c:pt idx="12">
                  <c:v>852</c:v>
                </c:pt>
                <c:pt idx="13">
                  <c:v>868</c:v>
                </c:pt>
                <c:pt idx="14">
                  <c:v>657</c:v>
                </c:pt>
                <c:pt idx="15">
                  <c:v>725</c:v>
                </c:pt>
                <c:pt idx="16">
                  <c:v>892</c:v>
                </c:pt>
                <c:pt idx="17">
                  <c:v>899</c:v>
                </c:pt>
                <c:pt idx="18">
                  <c:v>815</c:v>
                </c:pt>
                <c:pt idx="19">
                  <c:v>790</c:v>
                </c:pt>
                <c:pt idx="20">
                  <c:v>913</c:v>
                </c:pt>
                <c:pt idx="21">
                  <c:v>763</c:v>
                </c:pt>
                <c:pt idx="22">
                  <c:v>944</c:v>
                </c:pt>
                <c:pt idx="23">
                  <c:v>1117</c:v>
                </c:pt>
                <c:pt idx="24">
                  <c:v>1075</c:v>
                </c:pt>
                <c:pt idx="25">
                  <c:v>714</c:v>
                </c:pt>
                <c:pt idx="26">
                  <c:v>1001</c:v>
                </c:pt>
                <c:pt idx="27">
                  <c:v>892</c:v>
                </c:pt>
                <c:pt idx="28">
                  <c:v>872</c:v>
                </c:pt>
                <c:pt idx="29">
                  <c:v>858</c:v>
                </c:pt>
                <c:pt idx="30">
                  <c:v>935</c:v>
                </c:pt>
                <c:pt idx="31">
                  <c:v>736</c:v>
                </c:pt>
                <c:pt idx="32">
                  <c:v>856</c:v>
                </c:pt>
                <c:pt idx="33">
                  <c:v>735</c:v>
                </c:pt>
                <c:pt idx="34">
                  <c:v>1034</c:v>
                </c:pt>
                <c:pt idx="35">
                  <c:v>922</c:v>
                </c:pt>
                <c:pt idx="36">
                  <c:v>864</c:v>
                </c:pt>
                <c:pt idx="37">
                  <c:v>1140</c:v>
                </c:pt>
                <c:pt idx="38">
                  <c:v>1259</c:v>
                </c:pt>
                <c:pt idx="39">
                  <c:v>1137</c:v>
                </c:pt>
                <c:pt idx="40">
                  <c:v>1484</c:v>
                </c:pt>
                <c:pt idx="41">
                  <c:v>829</c:v>
                </c:pt>
                <c:pt idx="42">
                  <c:v>819</c:v>
                </c:pt>
                <c:pt idx="43">
                  <c:v>984</c:v>
                </c:pt>
                <c:pt idx="44">
                  <c:v>1356</c:v>
                </c:pt>
                <c:pt idx="45">
                  <c:v>1500</c:v>
                </c:pt>
                <c:pt idx="46">
                  <c:v>1560</c:v>
                </c:pt>
                <c:pt idx="47">
                  <c:v>1554</c:v>
                </c:pt>
                <c:pt idx="48">
                  <c:v>1129</c:v>
                </c:pt>
                <c:pt idx="49">
                  <c:v>934</c:v>
                </c:pt>
                <c:pt idx="50">
                  <c:v>1004</c:v>
                </c:pt>
                <c:pt idx="51">
                  <c:v>1903</c:v>
                </c:pt>
                <c:pt idx="52">
                  <c:v>1824</c:v>
                </c:pt>
                <c:pt idx="53">
                  <c:v>1560</c:v>
                </c:pt>
                <c:pt idx="54">
                  <c:v>1671</c:v>
                </c:pt>
                <c:pt idx="55">
                  <c:v>177</c:v>
                </c:pt>
                <c:pt idx="56">
                  <c:v>243</c:v>
                </c:pt>
                <c:pt idx="57">
                  <c:v>139</c:v>
                </c:pt>
                <c:pt idx="58">
                  <c:v>1608</c:v>
                </c:pt>
                <c:pt idx="59">
                  <c:v>1029</c:v>
                </c:pt>
                <c:pt idx="60">
                  <c:v>813</c:v>
                </c:pt>
                <c:pt idx="61">
                  <c:v>593</c:v>
                </c:pt>
                <c:pt idx="62">
                  <c:v>665</c:v>
                </c:pt>
                <c:pt idx="63">
                  <c:v>696</c:v>
                </c:pt>
                <c:pt idx="64">
                  <c:v>649</c:v>
                </c:pt>
                <c:pt idx="65">
                  <c:v>742.88</c:v>
                </c:pt>
                <c:pt idx="66">
                  <c:v>1804</c:v>
                </c:pt>
                <c:pt idx="67">
                  <c:v>1801</c:v>
                </c:pt>
                <c:pt idx="68">
                  <c:v>2246</c:v>
                </c:pt>
                <c:pt idx="69">
                  <c:v>1748</c:v>
                </c:pt>
                <c:pt idx="70">
                  <c:v>1006</c:v>
                </c:pt>
                <c:pt idx="71">
                  <c:v>1088</c:v>
                </c:pt>
                <c:pt idx="72">
                  <c:v>1794</c:v>
                </c:pt>
                <c:pt idx="73">
                  <c:v>2095</c:v>
                </c:pt>
                <c:pt idx="74">
                  <c:v>2103</c:v>
                </c:pt>
                <c:pt idx="75">
                  <c:v>2101</c:v>
                </c:pt>
                <c:pt idx="76">
                  <c:v>1631</c:v>
                </c:pt>
                <c:pt idx="77">
                  <c:v>1040</c:v>
                </c:pt>
                <c:pt idx="78">
                  <c:v>1048</c:v>
                </c:pt>
                <c:pt idx="79">
                  <c:v>1833</c:v>
                </c:pt>
                <c:pt idx="80">
                  <c:v>1986</c:v>
                </c:pt>
                <c:pt idx="81">
                  <c:v>1878</c:v>
                </c:pt>
                <c:pt idx="82">
                  <c:v>2006</c:v>
                </c:pt>
                <c:pt idx="83">
                  <c:v>1329</c:v>
                </c:pt>
                <c:pt idx="84">
                  <c:v>953</c:v>
                </c:pt>
                <c:pt idx="85">
                  <c:v>1016</c:v>
                </c:pt>
                <c:pt idx="86">
                  <c:v>984</c:v>
                </c:pt>
                <c:pt idx="87">
                  <c:v>1550</c:v>
                </c:pt>
                <c:pt idx="88">
                  <c:v>1906</c:v>
                </c:pt>
                <c:pt idx="89">
                  <c:v>2225</c:v>
                </c:pt>
                <c:pt idx="90">
                  <c:v>1505</c:v>
                </c:pt>
                <c:pt idx="91">
                  <c:v>1117</c:v>
                </c:pt>
                <c:pt idx="92">
                  <c:v>1025</c:v>
                </c:pt>
                <c:pt idx="93">
                  <c:v>1627</c:v>
                </c:pt>
                <c:pt idx="94">
                  <c:v>1797</c:v>
                </c:pt>
                <c:pt idx="95">
                  <c:v>1749</c:v>
                </c:pt>
                <c:pt idx="96">
                  <c:v>1771</c:v>
                </c:pt>
                <c:pt idx="97">
                  <c:v>1545</c:v>
                </c:pt>
                <c:pt idx="98">
                  <c:v>889</c:v>
                </c:pt>
                <c:pt idx="99">
                  <c:v>1084</c:v>
                </c:pt>
                <c:pt idx="100">
                  <c:v>1697</c:v>
                </c:pt>
                <c:pt idx="101">
                  <c:v>1789</c:v>
                </c:pt>
                <c:pt idx="102">
                  <c:v>1601</c:v>
                </c:pt>
                <c:pt idx="103">
                  <c:v>1566</c:v>
                </c:pt>
                <c:pt idx="104">
                  <c:v>1027</c:v>
                </c:pt>
                <c:pt idx="105">
                  <c:v>707</c:v>
                </c:pt>
                <c:pt idx="106">
                  <c:v>780</c:v>
                </c:pt>
                <c:pt idx="107">
                  <c:v>968</c:v>
                </c:pt>
                <c:pt idx="108">
                  <c:v>1296</c:v>
                </c:pt>
                <c:pt idx="109">
                  <c:v>1334</c:v>
                </c:pt>
                <c:pt idx="110">
                  <c:v>1517</c:v>
                </c:pt>
                <c:pt idx="111">
                  <c:v>1069</c:v>
                </c:pt>
                <c:pt idx="112">
                  <c:v>792</c:v>
                </c:pt>
                <c:pt idx="113">
                  <c:v>950</c:v>
                </c:pt>
                <c:pt idx="114">
                  <c:v>683</c:v>
                </c:pt>
                <c:pt idx="115">
                  <c:v>1780</c:v>
                </c:pt>
                <c:pt idx="116">
                  <c:v>1859</c:v>
                </c:pt>
                <c:pt idx="117">
                  <c:v>1933</c:v>
                </c:pt>
                <c:pt idx="118">
                  <c:v>1610</c:v>
                </c:pt>
                <c:pt idx="119">
                  <c:v>1042</c:v>
                </c:pt>
                <c:pt idx="120">
                  <c:v>1017</c:v>
                </c:pt>
                <c:pt idx="121">
                  <c:v>1257</c:v>
                </c:pt>
                <c:pt idx="122">
                  <c:v>1630</c:v>
                </c:pt>
                <c:pt idx="123">
                  <c:v>1843</c:v>
                </c:pt>
                <c:pt idx="124">
                  <c:v>2124</c:v>
                </c:pt>
                <c:pt idx="125">
                  <c:v>1255</c:v>
                </c:pt>
                <c:pt idx="126">
                  <c:v>860</c:v>
                </c:pt>
                <c:pt idx="127">
                  <c:v>1056</c:v>
                </c:pt>
                <c:pt idx="128">
                  <c:v>1212</c:v>
                </c:pt>
                <c:pt idx="129">
                  <c:v>1818</c:v>
                </c:pt>
                <c:pt idx="130">
                  <c:v>1283</c:v>
                </c:pt>
                <c:pt idx="131">
                  <c:v>761</c:v>
                </c:pt>
                <c:pt idx="132">
                  <c:v>1086</c:v>
                </c:pt>
                <c:pt idx="133">
                  <c:v>486</c:v>
                </c:pt>
                <c:pt idx="134">
                  <c:v>975</c:v>
                </c:pt>
                <c:pt idx="135">
                  <c:v>1544</c:v>
                </c:pt>
                <c:pt idx="136">
                  <c:v>1811</c:v>
                </c:pt>
                <c:pt idx="137">
                  <c:v>1747</c:v>
                </c:pt>
                <c:pt idx="138">
                  <c:v>1689</c:v>
                </c:pt>
                <c:pt idx="139">
                  <c:v>1297</c:v>
                </c:pt>
                <c:pt idx="140">
                  <c:v>375</c:v>
                </c:pt>
                <c:pt idx="141">
                  <c:v>751</c:v>
                </c:pt>
                <c:pt idx="142">
                  <c:v>1496</c:v>
                </c:pt>
                <c:pt idx="143">
                  <c:v>1895</c:v>
                </c:pt>
                <c:pt idx="144">
                  <c:v>1685</c:v>
                </c:pt>
                <c:pt idx="145">
                  <c:v>1978</c:v>
                </c:pt>
                <c:pt idx="146">
                  <c:v>1623</c:v>
                </c:pt>
                <c:pt idx="147">
                  <c:v>1083</c:v>
                </c:pt>
                <c:pt idx="148">
                  <c:v>1080</c:v>
                </c:pt>
                <c:pt idx="149">
                  <c:v>1487</c:v>
                </c:pt>
                <c:pt idx="150">
                  <c:v>1635</c:v>
                </c:pt>
                <c:pt idx="151">
                  <c:v>1548</c:v>
                </c:pt>
                <c:pt idx="152">
                  <c:v>1934</c:v>
                </c:pt>
                <c:pt idx="153">
                  <c:v>1367</c:v>
                </c:pt>
                <c:pt idx="154">
                  <c:v>1099</c:v>
                </c:pt>
                <c:pt idx="155">
                  <c:v>1348</c:v>
                </c:pt>
                <c:pt idx="156">
                  <c:v>1354</c:v>
                </c:pt>
                <c:pt idx="157">
                  <c:v>1465</c:v>
                </c:pt>
                <c:pt idx="158">
                  <c:v>1480</c:v>
                </c:pt>
                <c:pt idx="159">
                  <c:v>1780</c:v>
                </c:pt>
                <c:pt idx="160">
                  <c:v>1409</c:v>
                </c:pt>
                <c:pt idx="161">
                  <c:v>1236</c:v>
                </c:pt>
                <c:pt idx="162">
                  <c:v>1107</c:v>
                </c:pt>
                <c:pt idx="163">
                  <c:v>1619</c:v>
                </c:pt>
                <c:pt idx="164">
                  <c:v>1604</c:v>
                </c:pt>
                <c:pt idx="165">
                  <c:v>1536</c:v>
                </c:pt>
                <c:pt idx="166">
                  <c:v>1851</c:v>
                </c:pt>
                <c:pt idx="167">
                  <c:v>1367</c:v>
                </c:pt>
                <c:pt idx="168">
                  <c:v>1124</c:v>
                </c:pt>
                <c:pt idx="169">
                  <c:v>1156</c:v>
                </c:pt>
                <c:pt idx="170">
                  <c:v>1305</c:v>
                </c:pt>
                <c:pt idx="171">
                  <c:v>1279</c:v>
                </c:pt>
                <c:pt idx="172">
                  <c:v>1228</c:v>
                </c:pt>
                <c:pt idx="173">
                  <c:v>1448</c:v>
                </c:pt>
                <c:pt idx="174">
                  <c:v>1354</c:v>
                </c:pt>
                <c:pt idx="175">
                  <c:v>808</c:v>
                </c:pt>
                <c:pt idx="176">
                  <c:v>949</c:v>
                </c:pt>
                <c:pt idx="177">
                  <c:v>1170</c:v>
                </c:pt>
                <c:pt idx="178">
                  <c:v>1165</c:v>
                </c:pt>
                <c:pt idx="179">
                  <c:v>1021</c:v>
                </c:pt>
                <c:pt idx="180">
                  <c:v>1025</c:v>
                </c:pt>
                <c:pt idx="181">
                  <c:v>664</c:v>
                </c:pt>
                <c:pt idx="182">
                  <c:v>496</c:v>
                </c:pt>
                <c:pt idx="183">
                  <c:v>1042</c:v>
                </c:pt>
                <c:pt idx="184">
                  <c:v>936</c:v>
                </c:pt>
                <c:pt idx="185">
                  <c:v>779</c:v>
                </c:pt>
                <c:pt idx="186">
                  <c:v>1172</c:v>
                </c:pt>
                <c:pt idx="187">
                  <c:v>1232</c:v>
                </c:pt>
                <c:pt idx="188">
                  <c:v>1080</c:v>
                </c:pt>
                <c:pt idx="189">
                  <c:v>825</c:v>
                </c:pt>
                <c:pt idx="190">
                  <c:v>1068</c:v>
                </c:pt>
                <c:pt idx="191">
                  <c:v>1283</c:v>
                </c:pt>
                <c:pt idx="192">
                  <c:v>1287</c:v>
                </c:pt>
                <c:pt idx="193">
                  <c:v>1478</c:v>
                </c:pt>
                <c:pt idx="194">
                  <c:v>1598</c:v>
                </c:pt>
                <c:pt idx="195">
                  <c:v>1269</c:v>
                </c:pt>
                <c:pt idx="196">
                  <c:v>915</c:v>
                </c:pt>
                <c:pt idx="197">
                  <c:v>972</c:v>
                </c:pt>
                <c:pt idx="198">
                  <c:v>1425</c:v>
                </c:pt>
                <c:pt idx="199">
                  <c:v>1596</c:v>
                </c:pt>
                <c:pt idx="200">
                  <c:v>1302</c:v>
                </c:pt>
                <c:pt idx="201">
                  <c:v>1077</c:v>
                </c:pt>
                <c:pt idx="202">
                  <c:v>839</c:v>
                </c:pt>
                <c:pt idx="203">
                  <c:v>939</c:v>
                </c:pt>
                <c:pt idx="204">
                  <c:v>1068</c:v>
                </c:pt>
                <c:pt idx="205">
                  <c:v>1938</c:v>
                </c:pt>
                <c:pt idx="206">
                  <c:v>1883</c:v>
                </c:pt>
                <c:pt idx="207">
                  <c:v>1968</c:v>
                </c:pt>
                <c:pt idx="208">
                  <c:v>1821</c:v>
                </c:pt>
                <c:pt idx="209">
                  <c:v>1662</c:v>
                </c:pt>
                <c:pt idx="210">
                  <c:v>944</c:v>
                </c:pt>
                <c:pt idx="211">
                  <c:v>863</c:v>
                </c:pt>
                <c:pt idx="212">
                  <c:v>1948</c:v>
                </c:pt>
                <c:pt idx="213">
                  <c:v>2230</c:v>
                </c:pt>
                <c:pt idx="214">
                  <c:v>2197</c:v>
                </c:pt>
                <c:pt idx="215">
                  <c:v>2249</c:v>
                </c:pt>
                <c:pt idx="216">
                  <c:v>1798</c:v>
                </c:pt>
                <c:pt idx="217">
                  <c:v>1018</c:v>
                </c:pt>
                <c:pt idx="218">
                  <c:v>2084</c:v>
                </c:pt>
                <c:pt idx="219">
                  <c:v>1946</c:v>
                </c:pt>
                <c:pt idx="220">
                  <c:v>2044</c:v>
                </c:pt>
                <c:pt idx="221">
                  <c:v>1246</c:v>
                </c:pt>
                <c:pt idx="222">
                  <c:v>2313</c:v>
                </c:pt>
                <c:pt idx="223">
                  <c:v>1757</c:v>
                </c:pt>
                <c:pt idx="224">
                  <c:v>691</c:v>
                </c:pt>
                <c:pt idx="225">
                  <c:v>1317</c:v>
                </c:pt>
                <c:pt idx="226">
                  <c:v>2054</c:v>
                </c:pt>
                <c:pt idx="227">
                  <c:v>2172</c:v>
                </c:pt>
                <c:pt idx="228">
                  <c:v>2071</c:v>
                </c:pt>
                <c:pt idx="229">
                  <c:v>2138</c:v>
                </c:pt>
                <c:pt idx="230">
                  <c:v>1947</c:v>
                </c:pt>
                <c:pt idx="231">
                  <c:v>1072</c:v>
                </c:pt>
                <c:pt idx="232">
                  <c:v>1113</c:v>
                </c:pt>
                <c:pt idx="233">
                  <c:v>1694.5</c:v>
                </c:pt>
                <c:pt idx="234">
                  <c:v>1774</c:v>
                </c:pt>
                <c:pt idx="235">
                  <c:v>1690.5</c:v>
                </c:pt>
                <c:pt idx="236">
                  <c:v>1898</c:v>
                </c:pt>
                <c:pt idx="237">
                  <c:v>1620.5</c:v>
                </c:pt>
                <c:pt idx="238">
                  <c:v>1612</c:v>
                </c:pt>
                <c:pt idx="239">
                  <c:v>1927</c:v>
                </c:pt>
                <c:pt idx="240">
                  <c:v>1497.5</c:v>
                </c:pt>
                <c:pt idx="241">
                  <c:v>1627.5</c:v>
                </c:pt>
                <c:pt idx="242">
                  <c:v>1531</c:v>
                </c:pt>
                <c:pt idx="243">
                  <c:v>1966</c:v>
                </c:pt>
                <c:pt idx="244">
                  <c:v>1447</c:v>
                </c:pt>
                <c:pt idx="245">
                  <c:v>1062</c:v>
                </c:pt>
                <c:pt idx="246">
                  <c:v>1830</c:v>
                </c:pt>
                <c:pt idx="247">
                  <c:v>1624</c:v>
                </c:pt>
                <c:pt idx="248">
                  <c:v>1839.5</c:v>
                </c:pt>
                <c:pt idx="249">
                  <c:v>1946.5</c:v>
                </c:pt>
                <c:pt idx="250">
                  <c:v>1901.5</c:v>
                </c:pt>
                <c:pt idx="251">
                  <c:v>2129</c:v>
                </c:pt>
                <c:pt idx="252">
                  <c:v>2049</c:v>
                </c:pt>
                <c:pt idx="253">
                  <c:v>2105</c:v>
                </c:pt>
                <c:pt idx="254">
                  <c:v>1691.5</c:v>
                </c:pt>
                <c:pt idx="255">
                  <c:v>2069.5</c:v>
                </c:pt>
                <c:pt idx="256">
                  <c:v>1829.5</c:v>
                </c:pt>
                <c:pt idx="257">
                  <c:v>1780</c:v>
                </c:pt>
                <c:pt idx="258">
                  <c:v>1309.5</c:v>
                </c:pt>
                <c:pt idx="259">
                  <c:v>1732</c:v>
                </c:pt>
                <c:pt idx="260">
                  <c:v>2169</c:v>
                </c:pt>
                <c:pt idx="261">
                  <c:v>1748</c:v>
                </c:pt>
                <c:pt idx="262">
                  <c:v>1816</c:v>
                </c:pt>
                <c:pt idx="263">
                  <c:v>1416.5</c:v>
                </c:pt>
                <c:pt idx="264">
                  <c:v>919</c:v>
                </c:pt>
                <c:pt idx="265">
                  <c:v>2512</c:v>
                </c:pt>
                <c:pt idx="266">
                  <c:v>1683</c:v>
                </c:pt>
                <c:pt idx="267">
                  <c:v>1867</c:v>
                </c:pt>
                <c:pt idx="268">
                  <c:v>2567</c:v>
                </c:pt>
                <c:pt idx="269">
                  <c:v>2442</c:v>
                </c:pt>
                <c:pt idx="270">
                  <c:v>2425</c:v>
                </c:pt>
                <c:pt idx="271">
                  <c:v>2527</c:v>
                </c:pt>
                <c:pt idx="272">
                  <c:v>2443</c:v>
                </c:pt>
                <c:pt idx="273">
                  <c:v>1402</c:v>
                </c:pt>
                <c:pt idx="274">
                  <c:v>844</c:v>
                </c:pt>
                <c:pt idx="275">
                  <c:v>2452</c:v>
                </c:pt>
                <c:pt idx="276">
                  <c:v>2102</c:v>
                </c:pt>
                <c:pt idx="277">
                  <c:v>1755.5</c:v>
                </c:pt>
                <c:pt idx="278">
                  <c:v>1688.5</c:v>
                </c:pt>
                <c:pt idx="279">
                  <c:v>1592.5</c:v>
                </c:pt>
                <c:pt idx="280">
                  <c:v>1874</c:v>
                </c:pt>
                <c:pt idx="281">
                  <c:v>1554</c:v>
                </c:pt>
                <c:pt idx="282">
                  <c:v>1521.5</c:v>
                </c:pt>
                <c:pt idx="283">
                  <c:v>1873</c:v>
                </c:pt>
                <c:pt idx="284">
                  <c:v>1777</c:v>
                </c:pt>
                <c:pt idx="285">
                  <c:v>1845</c:v>
                </c:pt>
                <c:pt idx="286">
                  <c:v>1598</c:v>
                </c:pt>
                <c:pt idx="287">
                  <c:v>2286</c:v>
                </c:pt>
                <c:pt idx="288">
                  <c:v>2189</c:v>
                </c:pt>
                <c:pt idx="289">
                  <c:v>1614.5</c:v>
                </c:pt>
                <c:pt idx="290">
                  <c:v>1840.5</c:v>
                </c:pt>
                <c:pt idx="291">
                  <c:v>2681</c:v>
                </c:pt>
                <c:pt idx="292">
                  <c:v>1552.5</c:v>
                </c:pt>
                <c:pt idx="293">
                  <c:v>2178</c:v>
                </c:pt>
                <c:pt idx="294">
                  <c:v>894</c:v>
                </c:pt>
                <c:pt idx="295">
                  <c:v>703</c:v>
                </c:pt>
                <c:pt idx="296">
                  <c:v>1724.5</c:v>
                </c:pt>
                <c:pt idx="297">
                  <c:v>2506</c:v>
                </c:pt>
                <c:pt idx="298">
                  <c:v>1717.5</c:v>
                </c:pt>
                <c:pt idx="299">
                  <c:v>1578</c:v>
                </c:pt>
                <c:pt idx="300">
                  <c:v>2595</c:v>
                </c:pt>
                <c:pt idx="301">
                  <c:v>1725</c:v>
                </c:pt>
                <c:pt idx="302">
                  <c:v>1971</c:v>
                </c:pt>
                <c:pt idx="303">
                  <c:v>1393</c:v>
                </c:pt>
                <c:pt idx="304">
                  <c:v>2004</c:v>
                </c:pt>
                <c:pt idx="305">
                  <c:v>1499</c:v>
                </c:pt>
                <c:pt idx="306">
                  <c:v>1524.5</c:v>
                </c:pt>
                <c:pt idx="307">
                  <c:v>1448</c:v>
                </c:pt>
                <c:pt idx="308">
                  <c:v>2157</c:v>
                </c:pt>
                <c:pt idx="309">
                  <c:v>2191</c:v>
                </c:pt>
                <c:pt idx="310">
                  <c:v>1550.5</c:v>
                </c:pt>
                <c:pt idx="311">
                  <c:v>1729</c:v>
                </c:pt>
                <c:pt idx="312">
                  <c:v>1624</c:v>
                </c:pt>
                <c:pt idx="313">
                  <c:v>1667.5</c:v>
                </c:pt>
                <c:pt idx="314">
                  <c:v>1442.5</c:v>
                </c:pt>
                <c:pt idx="315">
                  <c:v>1998</c:v>
                </c:pt>
                <c:pt idx="316">
                  <c:v>1738</c:v>
                </c:pt>
                <c:pt idx="317">
                  <c:v>1424</c:v>
                </c:pt>
                <c:pt idx="318">
                  <c:v>2499</c:v>
                </c:pt>
                <c:pt idx="319">
                  <c:v>2489</c:v>
                </c:pt>
                <c:pt idx="320">
                  <c:v>1514.5</c:v>
                </c:pt>
                <c:pt idx="321">
                  <c:v>2469</c:v>
                </c:pt>
                <c:pt idx="322">
                  <c:v>1445</c:v>
                </c:pt>
                <c:pt idx="323">
                  <c:v>1275</c:v>
                </c:pt>
                <c:pt idx="324">
                  <c:v>2160</c:v>
                </c:pt>
                <c:pt idx="325">
                  <c:v>2513</c:v>
                </c:pt>
                <c:pt idx="326">
                  <c:v>2737</c:v>
                </c:pt>
                <c:pt idx="327">
                  <c:v>2669</c:v>
                </c:pt>
                <c:pt idx="328">
                  <c:v>2034</c:v>
                </c:pt>
                <c:pt idx="329">
                  <c:v>1161</c:v>
                </c:pt>
                <c:pt idx="330">
                  <c:v>1258</c:v>
                </c:pt>
                <c:pt idx="331">
                  <c:v>2005</c:v>
                </c:pt>
                <c:pt idx="332">
                  <c:v>2370</c:v>
                </c:pt>
                <c:pt idx="333">
                  <c:v>1861</c:v>
                </c:pt>
                <c:pt idx="334">
                  <c:v>916</c:v>
                </c:pt>
                <c:pt idx="335">
                  <c:v>2100</c:v>
                </c:pt>
                <c:pt idx="336">
                  <c:v>1401</c:v>
                </c:pt>
                <c:pt idx="337">
                  <c:v>1539</c:v>
                </c:pt>
                <c:pt idx="338">
                  <c:v>2155</c:v>
                </c:pt>
                <c:pt idx="339">
                  <c:v>1933</c:v>
                </c:pt>
                <c:pt idx="340">
                  <c:v>2189</c:v>
                </c:pt>
                <c:pt idx="341">
                  <c:v>1824</c:v>
                </c:pt>
                <c:pt idx="342">
                  <c:v>2476</c:v>
                </c:pt>
                <c:pt idx="343">
                  <c:v>1460</c:v>
                </c:pt>
                <c:pt idx="344">
                  <c:v>1379</c:v>
                </c:pt>
                <c:pt idx="345">
                  <c:v>2075</c:v>
                </c:pt>
                <c:pt idx="346">
                  <c:v>2344</c:v>
                </c:pt>
                <c:pt idx="347">
                  <c:v>1795</c:v>
                </c:pt>
                <c:pt idx="348">
                  <c:v>2195</c:v>
                </c:pt>
                <c:pt idx="349">
                  <c:v>2023</c:v>
                </c:pt>
                <c:pt idx="350">
                  <c:v>1408</c:v>
                </c:pt>
                <c:pt idx="351">
                  <c:v>1402</c:v>
                </c:pt>
                <c:pt idx="352">
                  <c:v>1884</c:v>
                </c:pt>
                <c:pt idx="353">
                  <c:v>2117</c:v>
                </c:pt>
                <c:pt idx="354">
                  <c:v>1993</c:v>
                </c:pt>
                <c:pt idx="355">
                  <c:v>1780</c:v>
                </c:pt>
                <c:pt idx="356">
                  <c:v>1442</c:v>
                </c:pt>
                <c:pt idx="357">
                  <c:v>1132</c:v>
                </c:pt>
                <c:pt idx="358">
                  <c:v>713</c:v>
                </c:pt>
                <c:pt idx="359">
                  <c:v>977</c:v>
                </c:pt>
                <c:pt idx="360">
                  <c:v>1145</c:v>
                </c:pt>
                <c:pt idx="361">
                  <c:v>1264</c:v>
                </c:pt>
                <c:pt idx="362">
                  <c:v>1212</c:v>
                </c:pt>
                <c:pt idx="363">
                  <c:v>913</c:v>
                </c:pt>
                <c:pt idx="364">
                  <c:v>1090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0-4416-98A2-4F4B8DC96DDD}"/>
            </c:ext>
          </c:extLst>
        </c:ser>
        <c:ser>
          <c:idx val="2"/>
          <c:order val="2"/>
          <c:tx>
            <c:strRef>
              <c:f>'Cycle_and_pedestrian data'!$D$1</c:f>
              <c:strCache>
                <c:ptCount val="1"/>
                <c:pt idx="0">
                  <c:v>Jack Pesch Bridge, Indooroopilly Pedestrian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'Cycle_and_pedestrian data'!$A$2:$A$366</c:f>
              <c:strCache>
                <c:ptCount val="365"/>
                <c:pt idx="0">
                  <c:v>Sat, 01 01 22</c:v>
                </c:pt>
                <c:pt idx="1">
                  <c:v>Sun, 02 01 22</c:v>
                </c:pt>
                <c:pt idx="2">
                  <c:v>Mon, 03 01 22</c:v>
                </c:pt>
                <c:pt idx="3">
                  <c:v>Tue, 04 01 22</c:v>
                </c:pt>
                <c:pt idx="4">
                  <c:v>Wed, 05 01 22</c:v>
                </c:pt>
                <c:pt idx="5">
                  <c:v>Thu, 06 01 22</c:v>
                </c:pt>
                <c:pt idx="6">
                  <c:v>Fri, 07 01 22</c:v>
                </c:pt>
                <c:pt idx="7">
                  <c:v>Sat, 08 01 22</c:v>
                </c:pt>
                <c:pt idx="8">
                  <c:v>Sun, 09 01 22</c:v>
                </c:pt>
                <c:pt idx="9">
                  <c:v>Mon, 10 01 22</c:v>
                </c:pt>
                <c:pt idx="10">
                  <c:v>Tue, 11 01 22</c:v>
                </c:pt>
                <c:pt idx="11">
                  <c:v>Wed, 12 01 22</c:v>
                </c:pt>
                <c:pt idx="12">
                  <c:v>Thu, 13 01 22</c:v>
                </c:pt>
                <c:pt idx="13">
                  <c:v>Fri, 14 01 22</c:v>
                </c:pt>
                <c:pt idx="14">
                  <c:v>Sat, 15 01 22</c:v>
                </c:pt>
                <c:pt idx="15">
                  <c:v>Sun, 16 01 22</c:v>
                </c:pt>
                <c:pt idx="16">
                  <c:v>Mon, 17 01 22</c:v>
                </c:pt>
                <c:pt idx="17">
                  <c:v>Tue, 18 01 22</c:v>
                </c:pt>
                <c:pt idx="18">
                  <c:v>Wed, 19 01 22</c:v>
                </c:pt>
                <c:pt idx="19">
                  <c:v>Thu, 20 01 22</c:v>
                </c:pt>
                <c:pt idx="20">
                  <c:v>Fri, 21 01 22</c:v>
                </c:pt>
                <c:pt idx="21">
                  <c:v>Sat, 22 01 22</c:v>
                </c:pt>
                <c:pt idx="22">
                  <c:v>Sun, 23 01 22</c:v>
                </c:pt>
                <c:pt idx="23">
                  <c:v>Mon, 24 01 22</c:v>
                </c:pt>
                <c:pt idx="24">
                  <c:v>Tue, 25 01 22</c:v>
                </c:pt>
                <c:pt idx="25">
                  <c:v>Wed, 26 01 22</c:v>
                </c:pt>
                <c:pt idx="26">
                  <c:v>Thu, 27 01 22</c:v>
                </c:pt>
                <c:pt idx="27">
                  <c:v>Fri, 28 01 22</c:v>
                </c:pt>
                <c:pt idx="28">
                  <c:v>Sat, 29 01 22</c:v>
                </c:pt>
                <c:pt idx="29">
                  <c:v>Sun, 30 01 22</c:v>
                </c:pt>
                <c:pt idx="30">
                  <c:v>Mon, 31 01 22</c:v>
                </c:pt>
                <c:pt idx="31">
                  <c:v>Tue, 01 02 22</c:v>
                </c:pt>
                <c:pt idx="32">
                  <c:v>Wed, 02 02 22</c:v>
                </c:pt>
                <c:pt idx="33">
                  <c:v>Thu, 03 02 22</c:v>
                </c:pt>
                <c:pt idx="34">
                  <c:v>Fri, 04 02 22</c:v>
                </c:pt>
                <c:pt idx="35">
                  <c:v>Sat, 05 02 22</c:v>
                </c:pt>
                <c:pt idx="36">
                  <c:v>Sun, 06 02 22</c:v>
                </c:pt>
                <c:pt idx="37">
                  <c:v>Mon, 07 02 22</c:v>
                </c:pt>
                <c:pt idx="38">
                  <c:v>Tue, 08 02 22</c:v>
                </c:pt>
                <c:pt idx="39">
                  <c:v>Wed, 09 02 22</c:v>
                </c:pt>
                <c:pt idx="40">
                  <c:v>Thu, 10 02 22</c:v>
                </c:pt>
                <c:pt idx="41">
                  <c:v>Fri, 11 02 22</c:v>
                </c:pt>
                <c:pt idx="42">
                  <c:v>Sat, 12 02 22</c:v>
                </c:pt>
                <c:pt idx="43">
                  <c:v>Sun, 13 02 22</c:v>
                </c:pt>
                <c:pt idx="44">
                  <c:v>Mon, 14 02 22</c:v>
                </c:pt>
                <c:pt idx="45">
                  <c:v>Tue, 15 02 22</c:v>
                </c:pt>
                <c:pt idx="46">
                  <c:v>Wed, 16 02 22</c:v>
                </c:pt>
                <c:pt idx="47">
                  <c:v>Thu, 17 02 22</c:v>
                </c:pt>
                <c:pt idx="48">
                  <c:v>Fri, 18 02 22</c:v>
                </c:pt>
                <c:pt idx="49">
                  <c:v>Sat, 19 02 22</c:v>
                </c:pt>
                <c:pt idx="50">
                  <c:v>Sun, 20 02 22</c:v>
                </c:pt>
                <c:pt idx="51">
                  <c:v>Mon, 21 02 22</c:v>
                </c:pt>
                <c:pt idx="52">
                  <c:v>Tue, 22 02 22</c:v>
                </c:pt>
                <c:pt idx="53">
                  <c:v>Wed, 23 02 22</c:v>
                </c:pt>
                <c:pt idx="54">
                  <c:v>Thu, 24 02 22</c:v>
                </c:pt>
                <c:pt idx="55">
                  <c:v>Fri, 25 02 22</c:v>
                </c:pt>
                <c:pt idx="56">
                  <c:v>Sat, 26 02 22</c:v>
                </c:pt>
                <c:pt idx="57">
                  <c:v>Sun, 27 02 22</c:v>
                </c:pt>
                <c:pt idx="58">
                  <c:v>Mon, 28 02 22</c:v>
                </c:pt>
                <c:pt idx="59">
                  <c:v>Tue, 01 03 22</c:v>
                </c:pt>
                <c:pt idx="60">
                  <c:v>Wed, 02 03 22</c:v>
                </c:pt>
                <c:pt idx="61">
                  <c:v>Thu, 03 03 22</c:v>
                </c:pt>
                <c:pt idx="62">
                  <c:v>Fri, 04 03 22</c:v>
                </c:pt>
                <c:pt idx="63">
                  <c:v>Sat, 05 03 22</c:v>
                </c:pt>
                <c:pt idx="64">
                  <c:v>Sun, 06 03 22</c:v>
                </c:pt>
                <c:pt idx="65">
                  <c:v>Mon, 07 03 22</c:v>
                </c:pt>
                <c:pt idx="66">
                  <c:v>Tue, 08 03 22</c:v>
                </c:pt>
                <c:pt idx="67">
                  <c:v>Wed, 09 03 22</c:v>
                </c:pt>
                <c:pt idx="68">
                  <c:v>Thu, 10 03 22</c:v>
                </c:pt>
                <c:pt idx="69">
                  <c:v>Fri, 11 03 22</c:v>
                </c:pt>
                <c:pt idx="70">
                  <c:v>Sat, 12 03 22</c:v>
                </c:pt>
                <c:pt idx="71">
                  <c:v>Sun, 13 03 22</c:v>
                </c:pt>
                <c:pt idx="72">
                  <c:v>Mon, 14 03 22</c:v>
                </c:pt>
                <c:pt idx="73">
                  <c:v>Tue, 15 03 22</c:v>
                </c:pt>
                <c:pt idx="74">
                  <c:v>Wed, 16 03 22</c:v>
                </c:pt>
                <c:pt idx="75">
                  <c:v>Thu, 17 03 22</c:v>
                </c:pt>
                <c:pt idx="76">
                  <c:v>Fri, 18 03 22</c:v>
                </c:pt>
                <c:pt idx="77">
                  <c:v>Sat, 19 03 22</c:v>
                </c:pt>
                <c:pt idx="78">
                  <c:v>Sun, 20 03 22</c:v>
                </c:pt>
                <c:pt idx="79">
                  <c:v>Mon, 21 03 22</c:v>
                </c:pt>
                <c:pt idx="80">
                  <c:v>Tue, 22 03 22</c:v>
                </c:pt>
                <c:pt idx="81">
                  <c:v>Wed, 23 03 22</c:v>
                </c:pt>
                <c:pt idx="82">
                  <c:v>Thu, 24 03 22</c:v>
                </c:pt>
                <c:pt idx="83">
                  <c:v>Fri, 25 03 22</c:v>
                </c:pt>
                <c:pt idx="84">
                  <c:v>Sat, 26 03 22</c:v>
                </c:pt>
                <c:pt idx="85">
                  <c:v>Sun, 27 03 22</c:v>
                </c:pt>
                <c:pt idx="86">
                  <c:v>Mon, 28 03 22</c:v>
                </c:pt>
                <c:pt idx="87">
                  <c:v>Tue, 29 03 22</c:v>
                </c:pt>
                <c:pt idx="88">
                  <c:v>Wed, 30 03 22</c:v>
                </c:pt>
                <c:pt idx="89">
                  <c:v>Thu, 31 03 22</c:v>
                </c:pt>
                <c:pt idx="90">
                  <c:v>Fri, 01 04 22</c:v>
                </c:pt>
                <c:pt idx="91">
                  <c:v>Sat, 02 04 22</c:v>
                </c:pt>
                <c:pt idx="92">
                  <c:v>Sun, 03 04 22</c:v>
                </c:pt>
                <c:pt idx="93">
                  <c:v>Mon, 04 04 22</c:v>
                </c:pt>
                <c:pt idx="94">
                  <c:v>Tue, 05 04 22</c:v>
                </c:pt>
                <c:pt idx="95">
                  <c:v>Wed, 06 04 22</c:v>
                </c:pt>
                <c:pt idx="96">
                  <c:v>Thu, 07 04 22</c:v>
                </c:pt>
                <c:pt idx="97">
                  <c:v>Fri, 08 04 22</c:v>
                </c:pt>
                <c:pt idx="98">
                  <c:v>Sat, 09 04 22</c:v>
                </c:pt>
                <c:pt idx="99">
                  <c:v>Sun, 10 04 22</c:v>
                </c:pt>
                <c:pt idx="100">
                  <c:v>Mon, 11 04 22</c:v>
                </c:pt>
                <c:pt idx="101">
                  <c:v>Tue, 12 04 22</c:v>
                </c:pt>
                <c:pt idx="102">
                  <c:v>Wed, 13 04 22</c:v>
                </c:pt>
                <c:pt idx="103">
                  <c:v>Thu, 14 04 22</c:v>
                </c:pt>
                <c:pt idx="104">
                  <c:v>Fri, 15 04 22</c:v>
                </c:pt>
                <c:pt idx="105">
                  <c:v>Sat, 16 04 22</c:v>
                </c:pt>
                <c:pt idx="106">
                  <c:v>Sun, 17 04 22</c:v>
                </c:pt>
                <c:pt idx="107">
                  <c:v>Mon, 18 04 22</c:v>
                </c:pt>
                <c:pt idx="108">
                  <c:v>Tue, 19 04 22</c:v>
                </c:pt>
                <c:pt idx="109">
                  <c:v>Wed, 20 04 22</c:v>
                </c:pt>
                <c:pt idx="110">
                  <c:v>Thu, 21 04 22</c:v>
                </c:pt>
                <c:pt idx="111">
                  <c:v>Fri, 22 04 22</c:v>
                </c:pt>
                <c:pt idx="112">
                  <c:v>Sat, 23 04 22</c:v>
                </c:pt>
                <c:pt idx="113">
                  <c:v>Sun, 24 04 22</c:v>
                </c:pt>
                <c:pt idx="114">
                  <c:v>Mon, 25 04 22</c:v>
                </c:pt>
                <c:pt idx="115">
                  <c:v>Tue, 26 04 22</c:v>
                </c:pt>
                <c:pt idx="116">
                  <c:v>Wed, 27 04 22</c:v>
                </c:pt>
                <c:pt idx="117">
                  <c:v>Thu, 28 04 22</c:v>
                </c:pt>
                <c:pt idx="118">
                  <c:v>Fri, 29 04 22</c:v>
                </c:pt>
                <c:pt idx="119">
                  <c:v>Sat, 30 04 22</c:v>
                </c:pt>
                <c:pt idx="120">
                  <c:v>Sun, 01 05 22</c:v>
                </c:pt>
                <c:pt idx="121">
                  <c:v>Mon, 02 05 22</c:v>
                </c:pt>
                <c:pt idx="122">
                  <c:v>Tue, 03 05 22</c:v>
                </c:pt>
                <c:pt idx="123">
                  <c:v>Wed, 04 05 22</c:v>
                </c:pt>
                <c:pt idx="124">
                  <c:v>Thu, 05 05 22</c:v>
                </c:pt>
                <c:pt idx="125">
                  <c:v>Fri, 06 05 22</c:v>
                </c:pt>
                <c:pt idx="126">
                  <c:v>Sat, 07 05 22</c:v>
                </c:pt>
                <c:pt idx="127">
                  <c:v>Sun, 08 05 22</c:v>
                </c:pt>
                <c:pt idx="128">
                  <c:v>Mon, 09 05 22</c:v>
                </c:pt>
                <c:pt idx="129">
                  <c:v>Tue, 10 05 22</c:v>
                </c:pt>
                <c:pt idx="130">
                  <c:v>Wed, 11 05 22</c:v>
                </c:pt>
                <c:pt idx="131">
                  <c:v>Thu, 12 05 22</c:v>
                </c:pt>
                <c:pt idx="132">
                  <c:v>Fri, 13 05 22</c:v>
                </c:pt>
                <c:pt idx="133">
                  <c:v>Sat, 14 05 22</c:v>
                </c:pt>
                <c:pt idx="134">
                  <c:v>Sun, 15 05 22</c:v>
                </c:pt>
                <c:pt idx="135">
                  <c:v>Mon, 16 05 22</c:v>
                </c:pt>
                <c:pt idx="136">
                  <c:v>Tue, 17 05 22</c:v>
                </c:pt>
                <c:pt idx="137">
                  <c:v>Wed, 18 05 22</c:v>
                </c:pt>
                <c:pt idx="138">
                  <c:v>Thu, 19 05 22</c:v>
                </c:pt>
                <c:pt idx="139">
                  <c:v>Fri, 20 05 22</c:v>
                </c:pt>
                <c:pt idx="140">
                  <c:v>Sat, 21 05 22</c:v>
                </c:pt>
                <c:pt idx="141">
                  <c:v>Sun, 22 05 22</c:v>
                </c:pt>
                <c:pt idx="142">
                  <c:v>Mon, 23 05 22</c:v>
                </c:pt>
                <c:pt idx="143">
                  <c:v>Tue, 24 05 22</c:v>
                </c:pt>
                <c:pt idx="144">
                  <c:v>Wed, 25 05 22</c:v>
                </c:pt>
                <c:pt idx="145">
                  <c:v>Thu, 26 05 22</c:v>
                </c:pt>
                <c:pt idx="146">
                  <c:v>Fri, 27 05 22</c:v>
                </c:pt>
                <c:pt idx="147">
                  <c:v>Sat, 28 05 22</c:v>
                </c:pt>
                <c:pt idx="148">
                  <c:v>Sun, 29 05 22</c:v>
                </c:pt>
                <c:pt idx="149">
                  <c:v>Mon, 30 05 22</c:v>
                </c:pt>
                <c:pt idx="150">
                  <c:v>Tue, 31 05 22</c:v>
                </c:pt>
                <c:pt idx="151">
                  <c:v>Wed, 01 06 22</c:v>
                </c:pt>
                <c:pt idx="152">
                  <c:v>Thu, 02 06 22</c:v>
                </c:pt>
                <c:pt idx="153">
                  <c:v>Fri, 03 06 22</c:v>
                </c:pt>
                <c:pt idx="154">
                  <c:v>Sat, 04 06 22</c:v>
                </c:pt>
                <c:pt idx="155">
                  <c:v>Sun, 05 06 22</c:v>
                </c:pt>
                <c:pt idx="156">
                  <c:v>Mon, 06 06 22</c:v>
                </c:pt>
                <c:pt idx="157">
                  <c:v>Tue, 07 06 22</c:v>
                </c:pt>
                <c:pt idx="158">
                  <c:v>Wed, 08 06 22</c:v>
                </c:pt>
                <c:pt idx="159">
                  <c:v>Thu, 09 06 22</c:v>
                </c:pt>
                <c:pt idx="160">
                  <c:v>Fri, 10 06 22</c:v>
                </c:pt>
                <c:pt idx="161">
                  <c:v>Sat, 11 06 22</c:v>
                </c:pt>
                <c:pt idx="162">
                  <c:v>Sun, 12 06 22</c:v>
                </c:pt>
                <c:pt idx="163">
                  <c:v>Mon, 13 06 22</c:v>
                </c:pt>
                <c:pt idx="164">
                  <c:v>Tue, 14 06 22</c:v>
                </c:pt>
                <c:pt idx="165">
                  <c:v>Wed, 15 06 22</c:v>
                </c:pt>
                <c:pt idx="166">
                  <c:v>Thu, 16 06 22</c:v>
                </c:pt>
                <c:pt idx="167">
                  <c:v>Fri, 17 06 22</c:v>
                </c:pt>
                <c:pt idx="168">
                  <c:v>Sat, 18 06 22</c:v>
                </c:pt>
                <c:pt idx="169">
                  <c:v>Sun, 19 06 22</c:v>
                </c:pt>
                <c:pt idx="170">
                  <c:v>Mon, 20 06 22</c:v>
                </c:pt>
                <c:pt idx="171">
                  <c:v>Tue, 21 06 22</c:v>
                </c:pt>
                <c:pt idx="172">
                  <c:v>Wed, 22 06 22</c:v>
                </c:pt>
                <c:pt idx="173">
                  <c:v>Thu, 23 06 22</c:v>
                </c:pt>
                <c:pt idx="174">
                  <c:v>Fri, 24 06 22</c:v>
                </c:pt>
                <c:pt idx="175">
                  <c:v>Sat, 25 06 22</c:v>
                </c:pt>
                <c:pt idx="176">
                  <c:v>Sun, 26 06 22</c:v>
                </c:pt>
                <c:pt idx="177">
                  <c:v>Mon, 27 06 22</c:v>
                </c:pt>
                <c:pt idx="178">
                  <c:v>Tue, 28 06 22</c:v>
                </c:pt>
                <c:pt idx="179">
                  <c:v>Wed, 29 06 22</c:v>
                </c:pt>
                <c:pt idx="180">
                  <c:v>Thu, 30 06 22</c:v>
                </c:pt>
                <c:pt idx="181">
                  <c:v>Fri, 01 07 22</c:v>
                </c:pt>
                <c:pt idx="182">
                  <c:v>Sat, 02 07 22</c:v>
                </c:pt>
                <c:pt idx="183">
                  <c:v>Sun, 03 07 22</c:v>
                </c:pt>
                <c:pt idx="184">
                  <c:v>Mon, 04 07 22</c:v>
                </c:pt>
                <c:pt idx="185">
                  <c:v>Tue, 05 07 22</c:v>
                </c:pt>
                <c:pt idx="186">
                  <c:v>Wed, 06 07 22</c:v>
                </c:pt>
                <c:pt idx="187">
                  <c:v>Thu, 07 07 22</c:v>
                </c:pt>
                <c:pt idx="188">
                  <c:v>Fri, 08 07 22</c:v>
                </c:pt>
                <c:pt idx="189">
                  <c:v>Sat, 09 07 22</c:v>
                </c:pt>
                <c:pt idx="190">
                  <c:v>Sun, 10 07 22</c:v>
                </c:pt>
                <c:pt idx="191">
                  <c:v>Mon, 11 07 22</c:v>
                </c:pt>
                <c:pt idx="192">
                  <c:v>Tue, 12 07 22</c:v>
                </c:pt>
                <c:pt idx="193">
                  <c:v>Wed, 13 07 22</c:v>
                </c:pt>
                <c:pt idx="194">
                  <c:v>Thu, 14 07 22</c:v>
                </c:pt>
                <c:pt idx="195">
                  <c:v>Fri, 15 07 22</c:v>
                </c:pt>
                <c:pt idx="196">
                  <c:v>Sat, 16 07 22</c:v>
                </c:pt>
                <c:pt idx="197">
                  <c:v>Sun, 17 07 22</c:v>
                </c:pt>
                <c:pt idx="198">
                  <c:v>Mon, 18 07 22</c:v>
                </c:pt>
                <c:pt idx="199">
                  <c:v>Tue, 19 07 22</c:v>
                </c:pt>
                <c:pt idx="200">
                  <c:v>Wed, 20 07 22</c:v>
                </c:pt>
                <c:pt idx="201">
                  <c:v>Thu, 21 07 22</c:v>
                </c:pt>
                <c:pt idx="202">
                  <c:v>Fri, 22 07 22</c:v>
                </c:pt>
                <c:pt idx="203">
                  <c:v>Sat, 23 07 22</c:v>
                </c:pt>
                <c:pt idx="204">
                  <c:v>Sun, 24 07 22</c:v>
                </c:pt>
                <c:pt idx="205">
                  <c:v>Mon, 25 07 22</c:v>
                </c:pt>
                <c:pt idx="206">
                  <c:v>Tue, 26 07 22</c:v>
                </c:pt>
                <c:pt idx="207">
                  <c:v>Wed, 27 07 22</c:v>
                </c:pt>
                <c:pt idx="208">
                  <c:v>Thu, 28 07 22</c:v>
                </c:pt>
                <c:pt idx="209">
                  <c:v>Fri, 29 07 22</c:v>
                </c:pt>
                <c:pt idx="210">
                  <c:v>Sat, 30 07 22</c:v>
                </c:pt>
                <c:pt idx="211">
                  <c:v>Sun, 31 07 22</c:v>
                </c:pt>
                <c:pt idx="212">
                  <c:v>Mon, 01 08 22</c:v>
                </c:pt>
                <c:pt idx="213">
                  <c:v>Tue, 02 08 22</c:v>
                </c:pt>
                <c:pt idx="214">
                  <c:v>Wed, 03 08 22</c:v>
                </c:pt>
                <c:pt idx="215">
                  <c:v>Thu, 04 08 22</c:v>
                </c:pt>
                <c:pt idx="216">
                  <c:v>Fri, 05 08 22</c:v>
                </c:pt>
                <c:pt idx="217">
                  <c:v>Sat, 06 08 22</c:v>
                </c:pt>
                <c:pt idx="218">
                  <c:v>Sun, 07 08 22</c:v>
                </c:pt>
                <c:pt idx="219">
                  <c:v>Mon, 08 08 22</c:v>
                </c:pt>
                <c:pt idx="220">
                  <c:v>Tue, 09 08 22</c:v>
                </c:pt>
                <c:pt idx="221">
                  <c:v>Wed, 10 08 22</c:v>
                </c:pt>
                <c:pt idx="222">
                  <c:v>Thu, 11 08 22</c:v>
                </c:pt>
                <c:pt idx="223">
                  <c:v>Fri, 12 08 22</c:v>
                </c:pt>
                <c:pt idx="224">
                  <c:v>Sat, 13 08 22</c:v>
                </c:pt>
                <c:pt idx="225">
                  <c:v>Sun, 14 08 22</c:v>
                </c:pt>
                <c:pt idx="226">
                  <c:v>Mon, 15 08 22</c:v>
                </c:pt>
                <c:pt idx="227">
                  <c:v>Tue, 16 08 22</c:v>
                </c:pt>
                <c:pt idx="228">
                  <c:v>Wed, 17 08 22</c:v>
                </c:pt>
                <c:pt idx="229">
                  <c:v>Thu, 18 08 22</c:v>
                </c:pt>
                <c:pt idx="230">
                  <c:v>Fri, 19 08 22</c:v>
                </c:pt>
                <c:pt idx="231">
                  <c:v>Sat, 20 08 22</c:v>
                </c:pt>
                <c:pt idx="232">
                  <c:v>Sun, 21 08 22</c:v>
                </c:pt>
                <c:pt idx="233">
                  <c:v>Mon, 22 08 22</c:v>
                </c:pt>
                <c:pt idx="234">
                  <c:v>Tue, 23 08 22</c:v>
                </c:pt>
                <c:pt idx="235">
                  <c:v>Wed, 24 08 22</c:v>
                </c:pt>
                <c:pt idx="236">
                  <c:v>Thu, 25 08 22</c:v>
                </c:pt>
                <c:pt idx="237">
                  <c:v>Fri, 26 08 22</c:v>
                </c:pt>
                <c:pt idx="238">
                  <c:v>Sat, 27 08 22</c:v>
                </c:pt>
                <c:pt idx="239">
                  <c:v>Sun, 28 08 22</c:v>
                </c:pt>
                <c:pt idx="240">
                  <c:v>Mon, 29 08 22</c:v>
                </c:pt>
                <c:pt idx="241">
                  <c:v>Tue, 30 08 22</c:v>
                </c:pt>
                <c:pt idx="242">
                  <c:v>Wed, 31 08 22</c:v>
                </c:pt>
                <c:pt idx="243">
                  <c:v>Thu, 01 09 22</c:v>
                </c:pt>
                <c:pt idx="244">
                  <c:v>Fri, 02 09 22</c:v>
                </c:pt>
                <c:pt idx="245">
                  <c:v>Sat, 03 09 22</c:v>
                </c:pt>
                <c:pt idx="246">
                  <c:v>Sun, 04 09 22</c:v>
                </c:pt>
                <c:pt idx="247">
                  <c:v>Mon, 05 09 22</c:v>
                </c:pt>
                <c:pt idx="248">
                  <c:v>Tue, 06 09 22</c:v>
                </c:pt>
                <c:pt idx="249">
                  <c:v>Wed, 07 09 22</c:v>
                </c:pt>
                <c:pt idx="250">
                  <c:v>Thu, 08 09 22</c:v>
                </c:pt>
                <c:pt idx="251">
                  <c:v>Fri, 09 09 22</c:v>
                </c:pt>
                <c:pt idx="252">
                  <c:v>Sat, 10 09 22</c:v>
                </c:pt>
                <c:pt idx="253">
                  <c:v>Sun, 11 09 22</c:v>
                </c:pt>
                <c:pt idx="254">
                  <c:v>Mon, 12 09 22</c:v>
                </c:pt>
                <c:pt idx="255">
                  <c:v>Tue, 13 09 22</c:v>
                </c:pt>
                <c:pt idx="256">
                  <c:v>Wed, 14 09 22</c:v>
                </c:pt>
                <c:pt idx="257">
                  <c:v>Thu, 15 09 22</c:v>
                </c:pt>
                <c:pt idx="258">
                  <c:v>Fri, 16 09 22</c:v>
                </c:pt>
                <c:pt idx="259">
                  <c:v>Sat, 17 09 22</c:v>
                </c:pt>
                <c:pt idx="260">
                  <c:v>Sun, 18 09 22</c:v>
                </c:pt>
                <c:pt idx="261">
                  <c:v>Mon, 19 09 22</c:v>
                </c:pt>
                <c:pt idx="262">
                  <c:v>Tue, 20 09 22</c:v>
                </c:pt>
                <c:pt idx="263">
                  <c:v>Wed, 21 09 22</c:v>
                </c:pt>
                <c:pt idx="264">
                  <c:v>Thu, 22 09 22</c:v>
                </c:pt>
                <c:pt idx="265">
                  <c:v>Fri, 23 09 22</c:v>
                </c:pt>
                <c:pt idx="266">
                  <c:v>Sat, 24 09 22</c:v>
                </c:pt>
                <c:pt idx="267">
                  <c:v>Sun, 25 09 22</c:v>
                </c:pt>
                <c:pt idx="268">
                  <c:v>Mon, 26 09 22</c:v>
                </c:pt>
                <c:pt idx="269">
                  <c:v>Tue, 27 09 22</c:v>
                </c:pt>
                <c:pt idx="270">
                  <c:v>Wed, 28 09 22</c:v>
                </c:pt>
                <c:pt idx="271">
                  <c:v>Thu, 29 09 22</c:v>
                </c:pt>
                <c:pt idx="272">
                  <c:v>Fri, 30 09 22</c:v>
                </c:pt>
                <c:pt idx="273">
                  <c:v>Sat, 01 10 22</c:v>
                </c:pt>
                <c:pt idx="274">
                  <c:v>Sun, 02 10 22</c:v>
                </c:pt>
                <c:pt idx="275">
                  <c:v>Mon, 03 10 22</c:v>
                </c:pt>
                <c:pt idx="276">
                  <c:v>Tue, 04 10 22</c:v>
                </c:pt>
                <c:pt idx="277">
                  <c:v>Wed, 05 10 22</c:v>
                </c:pt>
                <c:pt idx="278">
                  <c:v>Thu, 06 10 22</c:v>
                </c:pt>
                <c:pt idx="279">
                  <c:v>Fri, 07 10 22</c:v>
                </c:pt>
                <c:pt idx="280">
                  <c:v>Sat, 08 10 22</c:v>
                </c:pt>
                <c:pt idx="281">
                  <c:v>Sun, 09 10 22</c:v>
                </c:pt>
                <c:pt idx="282">
                  <c:v>Mon, 10 10 22</c:v>
                </c:pt>
                <c:pt idx="283">
                  <c:v>Tue, 11 10 22</c:v>
                </c:pt>
                <c:pt idx="284">
                  <c:v>Wed, 12 10 22</c:v>
                </c:pt>
                <c:pt idx="285">
                  <c:v>Thu, 13 10 22</c:v>
                </c:pt>
                <c:pt idx="286">
                  <c:v>Fri, 14 10 22</c:v>
                </c:pt>
                <c:pt idx="287">
                  <c:v>Sat, 15 10 22</c:v>
                </c:pt>
                <c:pt idx="288">
                  <c:v>Sun, 16 10 22</c:v>
                </c:pt>
                <c:pt idx="289">
                  <c:v>Mon, 17 10 22</c:v>
                </c:pt>
                <c:pt idx="290">
                  <c:v>Tue, 18 10 22</c:v>
                </c:pt>
                <c:pt idx="291">
                  <c:v>Wed, 19 10 22</c:v>
                </c:pt>
                <c:pt idx="292">
                  <c:v>Thu, 20 10 22</c:v>
                </c:pt>
                <c:pt idx="293">
                  <c:v>Fri, 21 10 22</c:v>
                </c:pt>
                <c:pt idx="294">
                  <c:v>Sat, 22 10 22</c:v>
                </c:pt>
                <c:pt idx="295">
                  <c:v>Sun, 23 10 22</c:v>
                </c:pt>
                <c:pt idx="296">
                  <c:v>Mon, 24 10 22</c:v>
                </c:pt>
                <c:pt idx="297">
                  <c:v>Tue, 25 10 22</c:v>
                </c:pt>
                <c:pt idx="298">
                  <c:v>Wed, 26 10 22</c:v>
                </c:pt>
                <c:pt idx="299">
                  <c:v>Thu, 27 10 22</c:v>
                </c:pt>
                <c:pt idx="300">
                  <c:v>Fri, 28 10 22</c:v>
                </c:pt>
                <c:pt idx="301">
                  <c:v>Sat, 29 10 22</c:v>
                </c:pt>
                <c:pt idx="302">
                  <c:v>Sun, 30 10 22</c:v>
                </c:pt>
                <c:pt idx="303">
                  <c:v>Mon, 31 10 22</c:v>
                </c:pt>
                <c:pt idx="304">
                  <c:v>Tue, 01 11 22</c:v>
                </c:pt>
                <c:pt idx="305">
                  <c:v>Wed, 02 11 22</c:v>
                </c:pt>
                <c:pt idx="306">
                  <c:v>Thu, 03 11 22</c:v>
                </c:pt>
                <c:pt idx="307">
                  <c:v>Fri, 04 11 22</c:v>
                </c:pt>
                <c:pt idx="308">
                  <c:v>Sat, 05 11 22</c:v>
                </c:pt>
                <c:pt idx="309">
                  <c:v>Sun, 06 11 22</c:v>
                </c:pt>
                <c:pt idx="310">
                  <c:v>Mon, 07 11 22</c:v>
                </c:pt>
                <c:pt idx="311">
                  <c:v>Tue, 08 11 22</c:v>
                </c:pt>
                <c:pt idx="312">
                  <c:v>Wed, 09 11 22</c:v>
                </c:pt>
                <c:pt idx="313">
                  <c:v>Thu, 10 11 22</c:v>
                </c:pt>
                <c:pt idx="314">
                  <c:v>Fri, 11 11 22</c:v>
                </c:pt>
                <c:pt idx="315">
                  <c:v>Sat, 12 11 22</c:v>
                </c:pt>
                <c:pt idx="316">
                  <c:v>Sun, 13 11 22</c:v>
                </c:pt>
                <c:pt idx="317">
                  <c:v>Mon, 14 11 22</c:v>
                </c:pt>
                <c:pt idx="318">
                  <c:v>Tue, 15 11 22</c:v>
                </c:pt>
                <c:pt idx="319">
                  <c:v>Wed, 16 11 22</c:v>
                </c:pt>
                <c:pt idx="320">
                  <c:v>Thu, 17 11 22</c:v>
                </c:pt>
                <c:pt idx="321">
                  <c:v>Fri, 18 11 22</c:v>
                </c:pt>
                <c:pt idx="322">
                  <c:v>Sat, 19 11 22</c:v>
                </c:pt>
                <c:pt idx="323">
                  <c:v>Sun, 20 11 22</c:v>
                </c:pt>
                <c:pt idx="324">
                  <c:v>Mon, 21 11 22</c:v>
                </c:pt>
                <c:pt idx="325">
                  <c:v>Tue, 22 11 22</c:v>
                </c:pt>
                <c:pt idx="326">
                  <c:v>Wed, 23 11 22</c:v>
                </c:pt>
                <c:pt idx="327">
                  <c:v>Thu, 24 11 22</c:v>
                </c:pt>
                <c:pt idx="328">
                  <c:v>Fri, 25 11 22</c:v>
                </c:pt>
                <c:pt idx="329">
                  <c:v>Sat, 26 11 22</c:v>
                </c:pt>
                <c:pt idx="330">
                  <c:v>Sun, 27 11 22</c:v>
                </c:pt>
                <c:pt idx="331">
                  <c:v>Mon, 28 11 22</c:v>
                </c:pt>
                <c:pt idx="332">
                  <c:v>Tue, 29 11 22</c:v>
                </c:pt>
                <c:pt idx="333">
                  <c:v>Wed, 30 11 22</c:v>
                </c:pt>
                <c:pt idx="334">
                  <c:v>Thu, 01 12 22</c:v>
                </c:pt>
                <c:pt idx="335">
                  <c:v>Fri, 02 12 22</c:v>
                </c:pt>
                <c:pt idx="336">
                  <c:v>Sat, 03 12 22</c:v>
                </c:pt>
                <c:pt idx="337">
                  <c:v>Sun, 04 12 22</c:v>
                </c:pt>
                <c:pt idx="338">
                  <c:v>Mon, 05 12 22</c:v>
                </c:pt>
                <c:pt idx="339">
                  <c:v>Tue, 06 12 22</c:v>
                </c:pt>
                <c:pt idx="340">
                  <c:v>Wed, 07 12 22</c:v>
                </c:pt>
                <c:pt idx="341">
                  <c:v>Thu, 08 12 22</c:v>
                </c:pt>
                <c:pt idx="342">
                  <c:v>Fri, 09 12 22</c:v>
                </c:pt>
                <c:pt idx="343">
                  <c:v>Sat, 10 12 22</c:v>
                </c:pt>
                <c:pt idx="344">
                  <c:v>Sun, 11 12 22</c:v>
                </c:pt>
                <c:pt idx="345">
                  <c:v>Mon, 12 12 22</c:v>
                </c:pt>
                <c:pt idx="346">
                  <c:v>Tue, 13 12 22</c:v>
                </c:pt>
                <c:pt idx="347">
                  <c:v>Wed, 14 12 22</c:v>
                </c:pt>
                <c:pt idx="348">
                  <c:v>Thu, 15 12 22</c:v>
                </c:pt>
                <c:pt idx="349">
                  <c:v>Fri, 16 12 22</c:v>
                </c:pt>
                <c:pt idx="350">
                  <c:v>Sat, 17 12 22</c:v>
                </c:pt>
                <c:pt idx="351">
                  <c:v>Sun, 18 12 22</c:v>
                </c:pt>
                <c:pt idx="352">
                  <c:v>Mon, 19 12 22</c:v>
                </c:pt>
                <c:pt idx="353">
                  <c:v>Tue, 20 12 22</c:v>
                </c:pt>
                <c:pt idx="354">
                  <c:v>Wed, 21 12 22</c:v>
                </c:pt>
                <c:pt idx="355">
                  <c:v>Thu, 22 12 22</c:v>
                </c:pt>
                <c:pt idx="356">
                  <c:v>Fri, 23 12 22</c:v>
                </c:pt>
                <c:pt idx="357">
                  <c:v>Sat, 24 12 22</c:v>
                </c:pt>
                <c:pt idx="358">
                  <c:v>Sun, 25 12 22</c:v>
                </c:pt>
                <c:pt idx="359">
                  <c:v>Mon, 26 12 22</c:v>
                </c:pt>
                <c:pt idx="360">
                  <c:v>Tue, 27 12 22</c:v>
                </c:pt>
                <c:pt idx="361">
                  <c:v>Wed, 28 12 22</c:v>
                </c:pt>
                <c:pt idx="362">
                  <c:v>Thu, 29 12 22</c:v>
                </c:pt>
                <c:pt idx="363">
                  <c:v>Fri, 30 12 22</c:v>
                </c:pt>
                <c:pt idx="364">
                  <c:v>Sat, 31 12 22</c:v>
                </c:pt>
              </c:strCache>
            </c:strRef>
          </c:cat>
          <c:val>
            <c:numRef>
              <c:f>'Cycle_and_pedestrian data'!$D$2:$D$366</c:f>
              <c:numCache>
                <c:formatCode>General</c:formatCode>
                <c:ptCount val="365"/>
                <c:pt idx="0">
                  <c:v>310</c:v>
                </c:pt>
                <c:pt idx="1">
                  <c:v>724</c:v>
                </c:pt>
                <c:pt idx="2">
                  <c:v>600</c:v>
                </c:pt>
                <c:pt idx="3">
                  <c:v>399</c:v>
                </c:pt>
                <c:pt idx="4">
                  <c:v>462</c:v>
                </c:pt>
                <c:pt idx="5">
                  <c:v>310</c:v>
                </c:pt>
                <c:pt idx="6">
                  <c:v>252</c:v>
                </c:pt>
                <c:pt idx="7">
                  <c:v>268</c:v>
                </c:pt>
                <c:pt idx="8">
                  <c:v>640</c:v>
                </c:pt>
                <c:pt idx="9">
                  <c:v>480</c:v>
                </c:pt>
                <c:pt idx="10">
                  <c:v>496</c:v>
                </c:pt>
                <c:pt idx="11">
                  <c:v>558</c:v>
                </c:pt>
                <c:pt idx="12">
                  <c:v>582</c:v>
                </c:pt>
                <c:pt idx="13">
                  <c:v>641</c:v>
                </c:pt>
                <c:pt idx="14">
                  <c:v>552</c:v>
                </c:pt>
                <c:pt idx="15">
                  <c:v>483</c:v>
                </c:pt>
                <c:pt idx="16">
                  <c:v>348</c:v>
                </c:pt>
                <c:pt idx="17">
                  <c:v>486</c:v>
                </c:pt>
                <c:pt idx="18">
                  <c:v>388</c:v>
                </c:pt>
                <c:pt idx="19">
                  <c:v>200</c:v>
                </c:pt>
                <c:pt idx="20">
                  <c:v>697</c:v>
                </c:pt>
                <c:pt idx="21">
                  <c:v>691</c:v>
                </c:pt>
                <c:pt idx="22">
                  <c:v>854</c:v>
                </c:pt>
                <c:pt idx="23">
                  <c:v>610</c:v>
                </c:pt>
                <c:pt idx="24">
                  <c:v>572</c:v>
                </c:pt>
                <c:pt idx="25">
                  <c:v>485</c:v>
                </c:pt>
                <c:pt idx="26">
                  <c:v>573</c:v>
                </c:pt>
                <c:pt idx="27">
                  <c:v>407</c:v>
                </c:pt>
                <c:pt idx="28">
                  <c:v>482</c:v>
                </c:pt>
                <c:pt idx="29">
                  <c:v>689</c:v>
                </c:pt>
                <c:pt idx="30">
                  <c:v>538</c:v>
                </c:pt>
                <c:pt idx="31">
                  <c:v>429</c:v>
                </c:pt>
                <c:pt idx="32">
                  <c:v>372</c:v>
                </c:pt>
                <c:pt idx="33">
                  <c:v>202</c:v>
                </c:pt>
                <c:pt idx="34">
                  <c:v>747</c:v>
                </c:pt>
                <c:pt idx="35">
                  <c:v>779</c:v>
                </c:pt>
                <c:pt idx="36">
                  <c:v>792</c:v>
                </c:pt>
                <c:pt idx="37">
                  <c:v>576</c:v>
                </c:pt>
                <c:pt idx="38">
                  <c:v>871</c:v>
                </c:pt>
                <c:pt idx="39">
                  <c:v>801</c:v>
                </c:pt>
                <c:pt idx="40">
                  <c:v>771</c:v>
                </c:pt>
                <c:pt idx="41">
                  <c:v>856</c:v>
                </c:pt>
                <c:pt idx="42">
                  <c:v>583</c:v>
                </c:pt>
                <c:pt idx="43">
                  <c:v>664</c:v>
                </c:pt>
                <c:pt idx="44">
                  <c:v>547</c:v>
                </c:pt>
                <c:pt idx="45">
                  <c:v>716</c:v>
                </c:pt>
                <c:pt idx="46">
                  <c:v>711</c:v>
                </c:pt>
                <c:pt idx="47">
                  <c:v>765</c:v>
                </c:pt>
                <c:pt idx="48">
                  <c:v>656</c:v>
                </c:pt>
                <c:pt idx="49">
                  <c:v>530</c:v>
                </c:pt>
                <c:pt idx="50">
                  <c:v>651</c:v>
                </c:pt>
                <c:pt idx="51">
                  <c:v>589</c:v>
                </c:pt>
                <c:pt idx="52">
                  <c:v>640</c:v>
                </c:pt>
                <c:pt idx="53">
                  <c:v>278</c:v>
                </c:pt>
                <c:pt idx="54">
                  <c:v>223</c:v>
                </c:pt>
                <c:pt idx="55">
                  <c:v>44</c:v>
                </c:pt>
                <c:pt idx="56">
                  <c:v>36</c:v>
                </c:pt>
                <c:pt idx="57">
                  <c:v>42</c:v>
                </c:pt>
                <c:pt idx="58">
                  <c:v>582</c:v>
                </c:pt>
                <c:pt idx="59">
                  <c:v>478</c:v>
                </c:pt>
                <c:pt idx="60">
                  <c:v>353</c:v>
                </c:pt>
                <c:pt idx="61">
                  <c:v>223</c:v>
                </c:pt>
                <c:pt idx="62">
                  <c:v>329</c:v>
                </c:pt>
                <c:pt idx="63">
                  <c:v>394</c:v>
                </c:pt>
                <c:pt idx="64">
                  <c:v>367</c:v>
                </c:pt>
                <c:pt idx="65">
                  <c:v>447</c:v>
                </c:pt>
                <c:pt idx="66">
                  <c:v>380</c:v>
                </c:pt>
                <c:pt idx="67">
                  <c:v>336</c:v>
                </c:pt>
                <c:pt idx="68">
                  <c:v>580</c:v>
                </c:pt>
                <c:pt idx="69">
                  <c:v>696</c:v>
                </c:pt>
                <c:pt idx="70">
                  <c:v>524</c:v>
                </c:pt>
                <c:pt idx="71">
                  <c:v>595</c:v>
                </c:pt>
                <c:pt idx="72">
                  <c:v>556</c:v>
                </c:pt>
                <c:pt idx="73">
                  <c:v>670</c:v>
                </c:pt>
                <c:pt idx="74">
                  <c:v>671</c:v>
                </c:pt>
                <c:pt idx="75">
                  <c:v>657</c:v>
                </c:pt>
                <c:pt idx="76">
                  <c:v>718</c:v>
                </c:pt>
                <c:pt idx="77">
                  <c:v>601</c:v>
                </c:pt>
                <c:pt idx="78">
                  <c:v>600</c:v>
                </c:pt>
                <c:pt idx="79">
                  <c:v>508</c:v>
                </c:pt>
                <c:pt idx="80">
                  <c:v>713</c:v>
                </c:pt>
                <c:pt idx="81">
                  <c:v>664</c:v>
                </c:pt>
                <c:pt idx="82">
                  <c:v>633</c:v>
                </c:pt>
                <c:pt idx="83">
                  <c:v>591</c:v>
                </c:pt>
                <c:pt idx="84">
                  <c:v>615</c:v>
                </c:pt>
                <c:pt idx="85">
                  <c:v>570</c:v>
                </c:pt>
                <c:pt idx="86">
                  <c:v>110</c:v>
                </c:pt>
                <c:pt idx="87">
                  <c:v>253</c:v>
                </c:pt>
                <c:pt idx="88">
                  <c:v>367</c:v>
                </c:pt>
                <c:pt idx="89">
                  <c:v>606</c:v>
                </c:pt>
                <c:pt idx="90">
                  <c:v>697</c:v>
                </c:pt>
                <c:pt idx="91">
                  <c:v>586</c:v>
                </c:pt>
                <c:pt idx="92">
                  <c:v>590</c:v>
                </c:pt>
                <c:pt idx="93">
                  <c:v>429</c:v>
                </c:pt>
                <c:pt idx="94">
                  <c:v>628</c:v>
                </c:pt>
                <c:pt idx="95">
                  <c:v>608</c:v>
                </c:pt>
                <c:pt idx="96">
                  <c:v>466</c:v>
                </c:pt>
                <c:pt idx="97">
                  <c:v>537</c:v>
                </c:pt>
                <c:pt idx="98">
                  <c:v>427</c:v>
                </c:pt>
                <c:pt idx="99">
                  <c:v>629</c:v>
                </c:pt>
                <c:pt idx="100">
                  <c:v>400</c:v>
                </c:pt>
                <c:pt idx="101">
                  <c:v>622</c:v>
                </c:pt>
                <c:pt idx="102">
                  <c:v>524</c:v>
                </c:pt>
                <c:pt idx="103">
                  <c:v>524</c:v>
                </c:pt>
                <c:pt idx="104">
                  <c:v>699</c:v>
                </c:pt>
                <c:pt idx="105">
                  <c:v>538</c:v>
                </c:pt>
                <c:pt idx="106">
                  <c:v>551</c:v>
                </c:pt>
                <c:pt idx="107">
                  <c:v>773</c:v>
                </c:pt>
                <c:pt idx="108">
                  <c:v>662</c:v>
                </c:pt>
                <c:pt idx="109">
                  <c:v>652</c:v>
                </c:pt>
                <c:pt idx="110">
                  <c:v>822</c:v>
                </c:pt>
                <c:pt idx="111">
                  <c:v>793</c:v>
                </c:pt>
                <c:pt idx="112">
                  <c:v>538</c:v>
                </c:pt>
                <c:pt idx="113">
                  <c:v>502</c:v>
                </c:pt>
                <c:pt idx="114">
                  <c:v>270</c:v>
                </c:pt>
                <c:pt idx="115">
                  <c:v>477</c:v>
                </c:pt>
                <c:pt idx="116">
                  <c:v>793</c:v>
                </c:pt>
                <c:pt idx="117">
                  <c:v>662</c:v>
                </c:pt>
                <c:pt idx="118">
                  <c:v>694</c:v>
                </c:pt>
                <c:pt idx="119">
                  <c:v>476</c:v>
                </c:pt>
                <c:pt idx="120">
                  <c:v>593</c:v>
                </c:pt>
                <c:pt idx="121">
                  <c:v>797</c:v>
                </c:pt>
                <c:pt idx="122">
                  <c:v>703</c:v>
                </c:pt>
                <c:pt idx="123">
                  <c:v>670</c:v>
                </c:pt>
                <c:pt idx="124">
                  <c:v>727</c:v>
                </c:pt>
                <c:pt idx="125">
                  <c:v>263</c:v>
                </c:pt>
                <c:pt idx="126">
                  <c:v>668</c:v>
                </c:pt>
                <c:pt idx="127">
                  <c:v>556</c:v>
                </c:pt>
                <c:pt idx="128">
                  <c:v>211</c:v>
                </c:pt>
                <c:pt idx="129">
                  <c:v>438</c:v>
                </c:pt>
                <c:pt idx="130">
                  <c:v>92</c:v>
                </c:pt>
                <c:pt idx="131">
                  <c:v>215</c:v>
                </c:pt>
                <c:pt idx="132">
                  <c:v>112</c:v>
                </c:pt>
                <c:pt idx="133">
                  <c:v>151</c:v>
                </c:pt>
                <c:pt idx="134">
                  <c:v>468</c:v>
                </c:pt>
                <c:pt idx="135">
                  <c:v>479</c:v>
                </c:pt>
                <c:pt idx="136">
                  <c:v>562</c:v>
                </c:pt>
                <c:pt idx="137">
                  <c:v>683</c:v>
                </c:pt>
                <c:pt idx="138">
                  <c:v>746</c:v>
                </c:pt>
                <c:pt idx="139">
                  <c:v>739</c:v>
                </c:pt>
                <c:pt idx="140">
                  <c:v>90</c:v>
                </c:pt>
                <c:pt idx="141">
                  <c:v>284</c:v>
                </c:pt>
                <c:pt idx="142">
                  <c:v>333</c:v>
                </c:pt>
                <c:pt idx="143">
                  <c:v>492</c:v>
                </c:pt>
                <c:pt idx="144">
                  <c:v>706</c:v>
                </c:pt>
                <c:pt idx="145">
                  <c:v>769</c:v>
                </c:pt>
                <c:pt idx="146">
                  <c:v>843</c:v>
                </c:pt>
                <c:pt idx="147">
                  <c:v>750</c:v>
                </c:pt>
                <c:pt idx="148">
                  <c:v>1198</c:v>
                </c:pt>
                <c:pt idx="149">
                  <c:v>491</c:v>
                </c:pt>
                <c:pt idx="150">
                  <c:v>495</c:v>
                </c:pt>
                <c:pt idx="151">
                  <c:v>664</c:v>
                </c:pt>
                <c:pt idx="152">
                  <c:v>779</c:v>
                </c:pt>
                <c:pt idx="153">
                  <c:v>651</c:v>
                </c:pt>
                <c:pt idx="154">
                  <c:v>543</c:v>
                </c:pt>
                <c:pt idx="155">
                  <c:v>849</c:v>
                </c:pt>
                <c:pt idx="156">
                  <c:v>333</c:v>
                </c:pt>
                <c:pt idx="157">
                  <c:v>637</c:v>
                </c:pt>
                <c:pt idx="158">
                  <c:v>635</c:v>
                </c:pt>
                <c:pt idx="159">
                  <c:v>610</c:v>
                </c:pt>
                <c:pt idx="160">
                  <c:v>578</c:v>
                </c:pt>
                <c:pt idx="161">
                  <c:v>584</c:v>
                </c:pt>
                <c:pt idx="162">
                  <c:v>605</c:v>
                </c:pt>
                <c:pt idx="163">
                  <c:v>523</c:v>
                </c:pt>
                <c:pt idx="164">
                  <c:v>589</c:v>
                </c:pt>
                <c:pt idx="165">
                  <c:v>613</c:v>
                </c:pt>
                <c:pt idx="166">
                  <c:v>655</c:v>
                </c:pt>
                <c:pt idx="167">
                  <c:v>686</c:v>
                </c:pt>
                <c:pt idx="168">
                  <c:v>648</c:v>
                </c:pt>
                <c:pt idx="169">
                  <c:v>712</c:v>
                </c:pt>
                <c:pt idx="170">
                  <c:v>496</c:v>
                </c:pt>
                <c:pt idx="171">
                  <c:v>655</c:v>
                </c:pt>
                <c:pt idx="172">
                  <c:v>677</c:v>
                </c:pt>
                <c:pt idx="173">
                  <c:v>685</c:v>
                </c:pt>
                <c:pt idx="174">
                  <c:v>618</c:v>
                </c:pt>
                <c:pt idx="175">
                  <c:v>708</c:v>
                </c:pt>
                <c:pt idx="176">
                  <c:v>712</c:v>
                </c:pt>
                <c:pt idx="177">
                  <c:v>437</c:v>
                </c:pt>
                <c:pt idx="178">
                  <c:v>623</c:v>
                </c:pt>
                <c:pt idx="179">
                  <c:v>566</c:v>
                </c:pt>
                <c:pt idx="180">
                  <c:v>529</c:v>
                </c:pt>
                <c:pt idx="181">
                  <c:v>164</c:v>
                </c:pt>
                <c:pt idx="182">
                  <c:v>186</c:v>
                </c:pt>
                <c:pt idx="183">
                  <c:v>711</c:v>
                </c:pt>
                <c:pt idx="184">
                  <c:v>257</c:v>
                </c:pt>
                <c:pt idx="185">
                  <c:v>93</c:v>
                </c:pt>
                <c:pt idx="186">
                  <c:v>318</c:v>
                </c:pt>
                <c:pt idx="187">
                  <c:v>542</c:v>
                </c:pt>
                <c:pt idx="188">
                  <c:v>654</c:v>
                </c:pt>
                <c:pt idx="189">
                  <c:v>664</c:v>
                </c:pt>
                <c:pt idx="190">
                  <c:v>708</c:v>
                </c:pt>
                <c:pt idx="191">
                  <c:v>445</c:v>
                </c:pt>
                <c:pt idx="192">
                  <c:v>509</c:v>
                </c:pt>
                <c:pt idx="193">
                  <c:v>510</c:v>
                </c:pt>
                <c:pt idx="194">
                  <c:v>571</c:v>
                </c:pt>
                <c:pt idx="195">
                  <c:v>651</c:v>
                </c:pt>
                <c:pt idx="196">
                  <c:v>691</c:v>
                </c:pt>
                <c:pt idx="197">
                  <c:v>727</c:v>
                </c:pt>
                <c:pt idx="198">
                  <c:v>525</c:v>
                </c:pt>
                <c:pt idx="199">
                  <c:v>612</c:v>
                </c:pt>
                <c:pt idx="200">
                  <c:v>550</c:v>
                </c:pt>
                <c:pt idx="201">
                  <c:v>316</c:v>
                </c:pt>
                <c:pt idx="202">
                  <c:v>137</c:v>
                </c:pt>
                <c:pt idx="203">
                  <c:v>755</c:v>
                </c:pt>
                <c:pt idx="204">
                  <c:v>938</c:v>
                </c:pt>
                <c:pt idx="205">
                  <c:v>543</c:v>
                </c:pt>
                <c:pt idx="206">
                  <c:v>605</c:v>
                </c:pt>
                <c:pt idx="207">
                  <c:v>642</c:v>
                </c:pt>
                <c:pt idx="208">
                  <c:v>636</c:v>
                </c:pt>
                <c:pt idx="209">
                  <c:v>622</c:v>
                </c:pt>
                <c:pt idx="210">
                  <c:v>677</c:v>
                </c:pt>
                <c:pt idx="211">
                  <c:v>593</c:v>
                </c:pt>
                <c:pt idx="212">
                  <c:v>448</c:v>
                </c:pt>
                <c:pt idx="213">
                  <c:v>722</c:v>
                </c:pt>
                <c:pt idx="214">
                  <c:v>690</c:v>
                </c:pt>
                <c:pt idx="215">
                  <c:v>760</c:v>
                </c:pt>
                <c:pt idx="216">
                  <c:v>693</c:v>
                </c:pt>
                <c:pt idx="217">
                  <c:v>411</c:v>
                </c:pt>
                <c:pt idx="218">
                  <c:v>779</c:v>
                </c:pt>
                <c:pt idx="219">
                  <c:v>603</c:v>
                </c:pt>
                <c:pt idx="220">
                  <c:v>626</c:v>
                </c:pt>
                <c:pt idx="221">
                  <c:v>804</c:v>
                </c:pt>
                <c:pt idx="222">
                  <c:v>606</c:v>
                </c:pt>
                <c:pt idx="223">
                  <c:v>747</c:v>
                </c:pt>
                <c:pt idx="224">
                  <c:v>329</c:v>
                </c:pt>
                <c:pt idx="225">
                  <c:v>825</c:v>
                </c:pt>
                <c:pt idx="226">
                  <c:v>574</c:v>
                </c:pt>
                <c:pt idx="227">
                  <c:v>711</c:v>
                </c:pt>
                <c:pt idx="228">
                  <c:v>743</c:v>
                </c:pt>
                <c:pt idx="229">
                  <c:v>711</c:v>
                </c:pt>
                <c:pt idx="230">
                  <c:v>728</c:v>
                </c:pt>
                <c:pt idx="231">
                  <c:v>698</c:v>
                </c:pt>
                <c:pt idx="232">
                  <c:v>784</c:v>
                </c:pt>
                <c:pt idx="233">
                  <c:v>549</c:v>
                </c:pt>
                <c:pt idx="234">
                  <c:v>736</c:v>
                </c:pt>
                <c:pt idx="235">
                  <c:v>564</c:v>
                </c:pt>
                <c:pt idx="236">
                  <c:v>713</c:v>
                </c:pt>
                <c:pt idx="237">
                  <c:v>769</c:v>
                </c:pt>
                <c:pt idx="238">
                  <c:v>671</c:v>
                </c:pt>
                <c:pt idx="239">
                  <c:v>397</c:v>
                </c:pt>
                <c:pt idx="240">
                  <c:v>497</c:v>
                </c:pt>
                <c:pt idx="241">
                  <c:v>556</c:v>
                </c:pt>
                <c:pt idx="242">
                  <c:v>427</c:v>
                </c:pt>
                <c:pt idx="243">
                  <c:v>776</c:v>
                </c:pt>
                <c:pt idx="244">
                  <c:v>543</c:v>
                </c:pt>
                <c:pt idx="245">
                  <c:v>280</c:v>
                </c:pt>
                <c:pt idx="246">
                  <c:v>766</c:v>
                </c:pt>
                <c:pt idx="247">
                  <c:v>508</c:v>
                </c:pt>
                <c:pt idx="248">
                  <c:v>744</c:v>
                </c:pt>
                <c:pt idx="249">
                  <c:v>691</c:v>
                </c:pt>
                <c:pt idx="250">
                  <c:v>704</c:v>
                </c:pt>
                <c:pt idx="251">
                  <c:v>310</c:v>
                </c:pt>
                <c:pt idx="252">
                  <c:v>652</c:v>
                </c:pt>
                <c:pt idx="253">
                  <c:v>712</c:v>
                </c:pt>
                <c:pt idx="254">
                  <c:v>549</c:v>
                </c:pt>
                <c:pt idx="255">
                  <c:v>718</c:v>
                </c:pt>
                <c:pt idx="256">
                  <c:v>692</c:v>
                </c:pt>
                <c:pt idx="257">
                  <c:v>612</c:v>
                </c:pt>
                <c:pt idx="258">
                  <c:v>314</c:v>
                </c:pt>
                <c:pt idx="259">
                  <c:v>505</c:v>
                </c:pt>
                <c:pt idx="260">
                  <c:v>743</c:v>
                </c:pt>
                <c:pt idx="261">
                  <c:v>433</c:v>
                </c:pt>
                <c:pt idx="262">
                  <c:v>598</c:v>
                </c:pt>
                <c:pt idx="263">
                  <c:v>510</c:v>
                </c:pt>
                <c:pt idx="264">
                  <c:v>269</c:v>
                </c:pt>
                <c:pt idx="265">
                  <c:v>520</c:v>
                </c:pt>
                <c:pt idx="266">
                  <c:v>668</c:v>
                </c:pt>
                <c:pt idx="267">
                  <c:v>708</c:v>
                </c:pt>
                <c:pt idx="268">
                  <c:v>494</c:v>
                </c:pt>
                <c:pt idx="269">
                  <c:v>578</c:v>
                </c:pt>
                <c:pt idx="270">
                  <c:v>467</c:v>
                </c:pt>
                <c:pt idx="271">
                  <c:v>753</c:v>
                </c:pt>
                <c:pt idx="272">
                  <c:v>716</c:v>
                </c:pt>
                <c:pt idx="273">
                  <c:v>643</c:v>
                </c:pt>
                <c:pt idx="274">
                  <c:v>333</c:v>
                </c:pt>
                <c:pt idx="275">
                  <c:v>875</c:v>
                </c:pt>
                <c:pt idx="276">
                  <c:v>718</c:v>
                </c:pt>
                <c:pt idx="277">
                  <c:v>788</c:v>
                </c:pt>
                <c:pt idx="278">
                  <c:v>608</c:v>
                </c:pt>
                <c:pt idx="279">
                  <c:v>825</c:v>
                </c:pt>
                <c:pt idx="280">
                  <c:v>837</c:v>
                </c:pt>
                <c:pt idx="281">
                  <c:v>465</c:v>
                </c:pt>
                <c:pt idx="282">
                  <c:v>606</c:v>
                </c:pt>
                <c:pt idx="283">
                  <c:v>795</c:v>
                </c:pt>
                <c:pt idx="284">
                  <c:v>750</c:v>
                </c:pt>
                <c:pt idx="285">
                  <c:v>903</c:v>
                </c:pt>
                <c:pt idx="286">
                  <c:v>633</c:v>
                </c:pt>
                <c:pt idx="287">
                  <c:v>691</c:v>
                </c:pt>
                <c:pt idx="288">
                  <c:v>689</c:v>
                </c:pt>
                <c:pt idx="289">
                  <c:v>593</c:v>
                </c:pt>
                <c:pt idx="290">
                  <c:v>787</c:v>
                </c:pt>
                <c:pt idx="291">
                  <c:v>470</c:v>
                </c:pt>
                <c:pt idx="292">
                  <c:v>414</c:v>
                </c:pt>
                <c:pt idx="293">
                  <c:v>322</c:v>
                </c:pt>
                <c:pt idx="294">
                  <c:v>197</c:v>
                </c:pt>
                <c:pt idx="295">
                  <c:v>152</c:v>
                </c:pt>
                <c:pt idx="296">
                  <c:v>563</c:v>
                </c:pt>
                <c:pt idx="297">
                  <c:v>387</c:v>
                </c:pt>
                <c:pt idx="298">
                  <c:v>647</c:v>
                </c:pt>
                <c:pt idx="299">
                  <c:v>593</c:v>
                </c:pt>
                <c:pt idx="300">
                  <c:v>508</c:v>
                </c:pt>
                <c:pt idx="301">
                  <c:v>517</c:v>
                </c:pt>
                <c:pt idx="302">
                  <c:v>485</c:v>
                </c:pt>
                <c:pt idx="303">
                  <c:v>544</c:v>
                </c:pt>
                <c:pt idx="304">
                  <c:v>314</c:v>
                </c:pt>
                <c:pt idx="305">
                  <c:v>786</c:v>
                </c:pt>
                <c:pt idx="306">
                  <c:v>808</c:v>
                </c:pt>
                <c:pt idx="307">
                  <c:v>880</c:v>
                </c:pt>
                <c:pt idx="308">
                  <c:v>744</c:v>
                </c:pt>
                <c:pt idx="309">
                  <c:v>737</c:v>
                </c:pt>
                <c:pt idx="310">
                  <c:v>593</c:v>
                </c:pt>
                <c:pt idx="311">
                  <c:v>790</c:v>
                </c:pt>
                <c:pt idx="312">
                  <c:v>790</c:v>
                </c:pt>
                <c:pt idx="313">
                  <c:v>713</c:v>
                </c:pt>
                <c:pt idx="314">
                  <c:v>847</c:v>
                </c:pt>
                <c:pt idx="315">
                  <c:v>704</c:v>
                </c:pt>
                <c:pt idx="316">
                  <c:v>662</c:v>
                </c:pt>
                <c:pt idx="317">
                  <c:v>501</c:v>
                </c:pt>
                <c:pt idx="318">
                  <c:v>530</c:v>
                </c:pt>
                <c:pt idx="319">
                  <c:v>665</c:v>
                </c:pt>
                <c:pt idx="320">
                  <c:v>745</c:v>
                </c:pt>
                <c:pt idx="321">
                  <c:v>755</c:v>
                </c:pt>
                <c:pt idx="322">
                  <c:v>637</c:v>
                </c:pt>
                <c:pt idx="323">
                  <c:v>351</c:v>
                </c:pt>
                <c:pt idx="324">
                  <c:v>286</c:v>
                </c:pt>
                <c:pt idx="325">
                  <c:v>592</c:v>
                </c:pt>
                <c:pt idx="326">
                  <c:v>667</c:v>
                </c:pt>
                <c:pt idx="327">
                  <c:v>588</c:v>
                </c:pt>
                <c:pt idx="328">
                  <c:v>659</c:v>
                </c:pt>
                <c:pt idx="329">
                  <c:v>527</c:v>
                </c:pt>
                <c:pt idx="330">
                  <c:v>467</c:v>
                </c:pt>
                <c:pt idx="331">
                  <c:v>326</c:v>
                </c:pt>
                <c:pt idx="332">
                  <c:v>487</c:v>
                </c:pt>
                <c:pt idx="333">
                  <c:v>329</c:v>
                </c:pt>
                <c:pt idx="334">
                  <c:v>70</c:v>
                </c:pt>
                <c:pt idx="335">
                  <c:v>475</c:v>
                </c:pt>
                <c:pt idx="336">
                  <c:v>566</c:v>
                </c:pt>
                <c:pt idx="337">
                  <c:v>605</c:v>
                </c:pt>
                <c:pt idx="338">
                  <c:v>446</c:v>
                </c:pt>
                <c:pt idx="339">
                  <c:v>422</c:v>
                </c:pt>
                <c:pt idx="340">
                  <c:v>488</c:v>
                </c:pt>
                <c:pt idx="341">
                  <c:v>215</c:v>
                </c:pt>
                <c:pt idx="342">
                  <c:v>708</c:v>
                </c:pt>
                <c:pt idx="343">
                  <c:v>573</c:v>
                </c:pt>
                <c:pt idx="344">
                  <c:v>568</c:v>
                </c:pt>
                <c:pt idx="345">
                  <c:v>410</c:v>
                </c:pt>
                <c:pt idx="346">
                  <c:v>555</c:v>
                </c:pt>
                <c:pt idx="347">
                  <c:v>489</c:v>
                </c:pt>
                <c:pt idx="348">
                  <c:v>545</c:v>
                </c:pt>
                <c:pt idx="349">
                  <c:v>645</c:v>
                </c:pt>
                <c:pt idx="350">
                  <c:v>655</c:v>
                </c:pt>
                <c:pt idx="351">
                  <c:v>901</c:v>
                </c:pt>
                <c:pt idx="352">
                  <c:v>485</c:v>
                </c:pt>
                <c:pt idx="353">
                  <c:v>677</c:v>
                </c:pt>
                <c:pt idx="354">
                  <c:v>654</c:v>
                </c:pt>
                <c:pt idx="355">
                  <c:v>696</c:v>
                </c:pt>
                <c:pt idx="356">
                  <c:v>625</c:v>
                </c:pt>
                <c:pt idx="357">
                  <c:v>536</c:v>
                </c:pt>
                <c:pt idx="358">
                  <c:v>314</c:v>
                </c:pt>
                <c:pt idx="359">
                  <c:v>510</c:v>
                </c:pt>
                <c:pt idx="360">
                  <c:v>501</c:v>
                </c:pt>
                <c:pt idx="361">
                  <c:v>588</c:v>
                </c:pt>
                <c:pt idx="362">
                  <c:v>515</c:v>
                </c:pt>
                <c:pt idx="363">
                  <c:v>387</c:v>
                </c:pt>
                <c:pt idx="364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00-4416-98A2-4F4B8DC96DDD}"/>
            </c:ext>
          </c:extLst>
        </c:ser>
        <c:ser>
          <c:idx val="3"/>
          <c:order val="3"/>
          <c:tx>
            <c:strRef>
              <c:f>'Cycle_and_pedestrian data'!$E$1</c:f>
              <c:strCache>
                <c:ptCount val="1"/>
                <c:pt idx="0">
                  <c:v>Jack Pesch Bridge, Indooroopilly Cyclist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'Cycle_and_pedestrian data'!$A$2:$A$366</c:f>
              <c:strCache>
                <c:ptCount val="365"/>
                <c:pt idx="0">
                  <c:v>Sat, 01 01 22</c:v>
                </c:pt>
                <c:pt idx="1">
                  <c:v>Sun, 02 01 22</c:v>
                </c:pt>
                <c:pt idx="2">
                  <c:v>Mon, 03 01 22</c:v>
                </c:pt>
                <c:pt idx="3">
                  <c:v>Tue, 04 01 22</c:v>
                </c:pt>
                <c:pt idx="4">
                  <c:v>Wed, 05 01 22</c:v>
                </c:pt>
                <c:pt idx="5">
                  <c:v>Thu, 06 01 22</c:v>
                </c:pt>
                <c:pt idx="6">
                  <c:v>Fri, 07 01 22</c:v>
                </c:pt>
                <c:pt idx="7">
                  <c:v>Sat, 08 01 22</c:v>
                </c:pt>
                <c:pt idx="8">
                  <c:v>Sun, 09 01 22</c:v>
                </c:pt>
                <c:pt idx="9">
                  <c:v>Mon, 10 01 22</c:v>
                </c:pt>
                <c:pt idx="10">
                  <c:v>Tue, 11 01 22</c:v>
                </c:pt>
                <c:pt idx="11">
                  <c:v>Wed, 12 01 22</c:v>
                </c:pt>
                <c:pt idx="12">
                  <c:v>Thu, 13 01 22</c:v>
                </c:pt>
                <c:pt idx="13">
                  <c:v>Fri, 14 01 22</c:v>
                </c:pt>
                <c:pt idx="14">
                  <c:v>Sat, 15 01 22</c:v>
                </c:pt>
                <c:pt idx="15">
                  <c:v>Sun, 16 01 22</c:v>
                </c:pt>
                <c:pt idx="16">
                  <c:v>Mon, 17 01 22</c:v>
                </c:pt>
                <c:pt idx="17">
                  <c:v>Tue, 18 01 22</c:v>
                </c:pt>
                <c:pt idx="18">
                  <c:v>Wed, 19 01 22</c:v>
                </c:pt>
                <c:pt idx="19">
                  <c:v>Thu, 20 01 22</c:v>
                </c:pt>
                <c:pt idx="20">
                  <c:v>Fri, 21 01 22</c:v>
                </c:pt>
                <c:pt idx="21">
                  <c:v>Sat, 22 01 22</c:v>
                </c:pt>
                <c:pt idx="22">
                  <c:v>Sun, 23 01 22</c:v>
                </c:pt>
                <c:pt idx="23">
                  <c:v>Mon, 24 01 22</c:v>
                </c:pt>
                <c:pt idx="24">
                  <c:v>Tue, 25 01 22</c:v>
                </c:pt>
                <c:pt idx="25">
                  <c:v>Wed, 26 01 22</c:v>
                </c:pt>
                <c:pt idx="26">
                  <c:v>Thu, 27 01 22</c:v>
                </c:pt>
                <c:pt idx="27">
                  <c:v>Fri, 28 01 22</c:v>
                </c:pt>
                <c:pt idx="28">
                  <c:v>Sat, 29 01 22</c:v>
                </c:pt>
                <c:pt idx="29">
                  <c:v>Sun, 30 01 22</c:v>
                </c:pt>
                <c:pt idx="30">
                  <c:v>Mon, 31 01 22</c:v>
                </c:pt>
                <c:pt idx="31">
                  <c:v>Tue, 01 02 22</c:v>
                </c:pt>
                <c:pt idx="32">
                  <c:v>Wed, 02 02 22</c:v>
                </c:pt>
                <c:pt idx="33">
                  <c:v>Thu, 03 02 22</c:v>
                </c:pt>
                <c:pt idx="34">
                  <c:v>Fri, 04 02 22</c:v>
                </c:pt>
                <c:pt idx="35">
                  <c:v>Sat, 05 02 22</c:v>
                </c:pt>
                <c:pt idx="36">
                  <c:v>Sun, 06 02 22</c:v>
                </c:pt>
                <c:pt idx="37">
                  <c:v>Mon, 07 02 22</c:v>
                </c:pt>
                <c:pt idx="38">
                  <c:v>Tue, 08 02 22</c:v>
                </c:pt>
                <c:pt idx="39">
                  <c:v>Wed, 09 02 22</c:v>
                </c:pt>
                <c:pt idx="40">
                  <c:v>Thu, 10 02 22</c:v>
                </c:pt>
                <c:pt idx="41">
                  <c:v>Fri, 11 02 22</c:v>
                </c:pt>
                <c:pt idx="42">
                  <c:v>Sat, 12 02 22</c:v>
                </c:pt>
                <c:pt idx="43">
                  <c:v>Sun, 13 02 22</c:v>
                </c:pt>
                <c:pt idx="44">
                  <c:v>Mon, 14 02 22</c:v>
                </c:pt>
                <c:pt idx="45">
                  <c:v>Tue, 15 02 22</c:v>
                </c:pt>
                <c:pt idx="46">
                  <c:v>Wed, 16 02 22</c:v>
                </c:pt>
                <c:pt idx="47">
                  <c:v>Thu, 17 02 22</c:v>
                </c:pt>
                <c:pt idx="48">
                  <c:v>Fri, 18 02 22</c:v>
                </c:pt>
                <c:pt idx="49">
                  <c:v>Sat, 19 02 22</c:v>
                </c:pt>
                <c:pt idx="50">
                  <c:v>Sun, 20 02 22</c:v>
                </c:pt>
                <c:pt idx="51">
                  <c:v>Mon, 21 02 22</c:v>
                </c:pt>
                <c:pt idx="52">
                  <c:v>Tue, 22 02 22</c:v>
                </c:pt>
                <c:pt idx="53">
                  <c:v>Wed, 23 02 22</c:v>
                </c:pt>
                <c:pt idx="54">
                  <c:v>Thu, 24 02 22</c:v>
                </c:pt>
                <c:pt idx="55">
                  <c:v>Fri, 25 02 22</c:v>
                </c:pt>
                <c:pt idx="56">
                  <c:v>Sat, 26 02 22</c:v>
                </c:pt>
                <c:pt idx="57">
                  <c:v>Sun, 27 02 22</c:v>
                </c:pt>
                <c:pt idx="58">
                  <c:v>Mon, 28 02 22</c:v>
                </c:pt>
                <c:pt idx="59">
                  <c:v>Tue, 01 03 22</c:v>
                </c:pt>
                <c:pt idx="60">
                  <c:v>Wed, 02 03 22</c:v>
                </c:pt>
                <c:pt idx="61">
                  <c:v>Thu, 03 03 22</c:v>
                </c:pt>
                <c:pt idx="62">
                  <c:v>Fri, 04 03 22</c:v>
                </c:pt>
                <c:pt idx="63">
                  <c:v>Sat, 05 03 22</c:v>
                </c:pt>
                <c:pt idx="64">
                  <c:v>Sun, 06 03 22</c:v>
                </c:pt>
                <c:pt idx="65">
                  <c:v>Mon, 07 03 22</c:v>
                </c:pt>
                <c:pt idx="66">
                  <c:v>Tue, 08 03 22</c:v>
                </c:pt>
                <c:pt idx="67">
                  <c:v>Wed, 09 03 22</c:v>
                </c:pt>
                <c:pt idx="68">
                  <c:v>Thu, 10 03 22</c:v>
                </c:pt>
                <c:pt idx="69">
                  <c:v>Fri, 11 03 22</c:v>
                </c:pt>
                <c:pt idx="70">
                  <c:v>Sat, 12 03 22</c:v>
                </c:pt>
                <c:pt idx="71">
                  <c:v>Sun, 13 03 22</c:v>
                </c:pt>
                <c:pt idx="72">
                  <c:v>Mon, 14 03 22</c:v>
                </c:pt>
                <c:pt idx="73">
                  <c:v>Tue, 15 03 22</c:v>
                </c:pt>
                <c:pt idx="74">
                  <c:v>Wed, 16 03 22</c:v>
                </c:pt>
                <c:pt idx="75">
                  <c:v>Thu, 17 03 22</c:v>
                </c:pt>
                <c:pt idx="76">
                  <c:v>Fri, 18 03 22</c:v>
                </c:pt>
                <c:pt idx="77">
                  <c:v>Sat, 19 03 22</c:v>
                </c:pt>
                <c:pt idx="78">
                  <c:v>Sun, 20 03 22</c:v>
                </c:pt>
                <c:pt idx="79">
                  <c:v>Mon, 21 03 22</c:v>
                </c:pt>
                <c:pt idx="80">
                  <c:v>Tue, 22 03 22</c:v>
                </c:pt>
                <c:pt idx="81">
                  <c:v>Wed, 23 03 22</c:v>
                </c:pt>
                <c:pt idx="82">
                  <c:v>Thu, 24 03 22</c:v>
                </c:pt>
                <c:pt idx="83">
                  <c:v>Fri, 25 03 22</c:v>
                </c:pt>
                <c:pt idx="84">
                  <c:v>Sat, 26 03 22</c:v>
                </c:pt>
                <c:pt idx="85">
                  <c:v>Sun, 27 03 22</c:v>
                </c:pt>
                <c:pt idx="86">
                  <c:v>Mon, 28 03 22</c:v>
                </c:pt>
                <c:pt idx="87">
                  <c:v>Tue, 29 03 22</c:v>
                </c:pt>
                <c:pt idx="88">
                  <c:v>Wed, 30 03 22</c:v>
                </c:pt>
                <c:pt idx="89">
                  <c:v>Thu, 31 03 22</c:v>
                </c:pt>
                <c:pt idx="90">
                  <c:v>Fri, 01 04 22</c:v>
                </c:pt>
                <c:pt idx="91">
                  <c:v>Sat, 02 04 22</c:v>
                </c:pt>
                <c:pt idx="92">
                  <c:v>Sun, 03 04 22</c:v>
                </c:pt>
                <c:pt idx="93">
                  <c:v>Mon, 04 04 22</c:v>
                </c:pt>
                <c:pt idx="94">
                  <c:v>Tue, 05 04 22</c:v>
                </c:pt>
                <c:pt idx="95">
                  <c:v>Wed, 06 04 22</c:v>
                </c:pt>
                <c:pt idx="96">
                  <c:v>Thu, 07 04 22</c:v>
                </c:pt>
                <c:pt idx="97">
                  <c:v>Fri, 08 04 22</c:v>
                </c:pt>
                <c:pt idx="98">
                  <c:v>Sat, 09 04 22</c:v>
                </c:pt>
                <c:pt idx="99">
                  <c:v>Sun, 10 04 22</c:v>
                </c:pt>
                <c:pt idx="100">
                  <c:v>Mon, 11 04 22</c:v>
                </c:pt>
                <c:pt idx="101">
                  <c:v>Tue, 12 04 22</c:v>
                </c:pt>
                <c:pt idx="102">
                  <c:v>Wed, 13 04 22</c:v>
                </c:pt>
                <c:pt idx="103">
                  <c:v>Thu, 14 04 22</c:v>
                </c:pt>
                <c:pt idx="104">
                  <c:v>Fri, 15 04 22</c:v>
                </c:pt>
                <c:pt idx="105">
                  <c:v>Sat, 16 04 22</c:v>
                </c:pt>
                <c:pt idx="106">
                  <c:v>Sun, 17 04 22</c:v>
                </c:pt>
                <c:pt idx="107">
                  <c:v>Mon, 18 04 22</c:v>
                </c:pt>
                <c:pt idx="108">
                  <c:v>Tue, 19 04 22</c:v>
                </c:pt>
                <c:pt idx="109">
                  <c:v>Wed, 20 04 22</c:v>
                </c:pt>
                <c:pt idx="110">
                  <c:v>Thu, 21 04 22</c:v>
                </c:pt>
                <c:pt idx="111">
                  <c:v>Fri, 22 04 22</c:v>
                </c:pt>
                <c:pt idx="112">
                  <c:v>Sat, 23 04 22</c:v>
                </c:pt>
                <c:pt idx="113">
                  <c:v>Sun, 24 04 22</c:v>
                </c:pt>
                <c:pt idx="114">
                  <c:v>Mon, 25 04 22</c:v>
                </c:pt>
                <c:pt idx="115">
                  <c:v>Tue, 26 04 22</c:v>
                </c:pt>
                <c:pt idx="116">
                  <c:v>Wed, 27 04 22</c:v>
                </c:pt>
                <c:pt idx="117">
                  <c:v>Thu, 28 04 22</c:v>
                </c:pt>
                <c:pt idx="118">
                  <c:v>Fri, 29 04 22</c:v>
                </c:pt>
                <c:pt idx="119">
                  <c:v>Sat, 30 04 22</c:v>
                </c:pt>
                <c:pt idx="120">
                  <c:v>Sun, 01 05 22</c:v>
                </c:pt>
                <c:pt idx="121">
                  <c:v>Mon, 02 05 22</c:v>
                </c:pt>
                <c:pt idx="122">
                  <c:v>Tue, 03 05 22</c:v>
                </c:pt>
                <c:pt idx="123">
                  <c:v>Wed, 04 05 22</c:v>
                </c:pt>
                <c:pt idx="124">
                  <c:v>Thu, 05 05 22</c:v>
                </c:pt>
                <c:pt idx="125">
                  <c:v>Fri, 06 05 22</c:v>
                </c:pt>
                <c:pt idx="126">
                  <c:v>Sat, 07 05 22</c:v>
                </c:pt>
                <c:pt idx="127">
                  <c:v>Sun, 08 05 22</c:v>
                </c:pt>
                <c:pt idx="128">
                  <c:v>Mon, 09 05 22</c:v>
                </c:pt>
                <c:pt idx="129">
                  <c:v>Tue, 10 05 22</c:v>
                </c:pt>
                <c:pt idx="130">
                  <c:v>Wed, 11 05 22</c:v>
                </c:pt>
                <c:pt idx="131">
                  <c:v>Thu, 12 05 22</c:v>
                </c:pt>
                <c:pt idx="132">
                  <c:v>Fri, 13 05 22</c:v>
                </c:pt>
                <c:pt idx="133">
                  <c:v>Sat, 14 05 22</c:v>
                </c:pt>
                <c:pt idx="134">
                  <c:v>Sun, 15 05 22</c:v>
                </c:pt>
                <c:pt idx="135">
                  <c:v>Mon, 16 05 22</c:v>
                </c:pt>
                <c:pt idx="136">
                  <c:v>Tue, 17 05 22</c:v>
                </c:pt>
                <c:pt idx="137">
                  <c:v>Wed, 18 05 22</c:v>
                </c:pt>
                <c:pt idx="138">
                  <c:v>Thu, 19 05 22</c:v>
                </c:pt>
                <c:pt idx="139">
                  <c:v>Fri, 20 05 22</c:v>
                </c:pt>
                <c:pt idx="140">
                  <c:v>Sat, 21 05 22</c:v>
                </c:pt>
                <c:pt idx="141">
                  <c:v>Sun, 22 05 22</c:v>
                </c:pt>
                <c:pt idx="142">
                  <c:v>Mon, 23 05 22</c:v>
                </c:pt>
                <c:pt idx="143">
                  <c:v>Tue, 24 05 22</c:v>
                </c:pt>
                <c:pt idx="144">
                  <c:v>Wed, 25 05 22</c:v>
                </c:pt>
                <c:pt idx="145">
                  <c:v>Thu, 26 05 22</c:v>
                </c:pt>
                <c:pt idx="146">
                  <c:v>Fri, 27 05 22</c:v>
                </c:pt>
                <c:pt idx="147">
                  <c:v>Sat, 28 05 22</c:v>
                </c:pt>
                <c:pt idx="148">
                  <c:v>Sun, 29 05 22</c:v>
                </c:pt>
                <c:pt idx="149">
                  <c:v>Mon, 30 05 22</c:v>
                </c:pt>
                <c:pt idx="150">
                  <c:v>Tue, 31 05 22</c:v>
                </c:pt>
                <c:pt idx="151">
                  <c:v>Wed, 01 06 22</c:v>
                </c:pt>
                <c:pt idx="152">
                  <c:v>Thu, 02 06 22</c:v>
                </c:pt>
                <c:pt idx="153">
                  <c:v>Fri, 03 06 22</c:v>
                </c:pt>
                <c:pt idx="154">
                  <c:v>Sat, 04 06 22</c:v>
                </c:pt>
                <c:pt idx="155">
                  <c:v>Sun, 05 06 22</c:v>
                </c:pt>
                <c:pt idx="156">
                  <c:v>Mon, 06 06 22</c:v>
                </c:pt>
                <c:pt idx="157">
                  <c:v>Tue, 07 06 22</c:v>
                </c:pt>
                <c:pt idx="158">
                  <c:v>Wed, 08 06 22</c:v>
                </c:pt>
                <c:pt idx="159">
                  <c:v>Thu, 09 06 22</c:v>
                </c:pt>
                <c:pt idx="160">
                  <c:v>Fri, 10 06 22</c:v>
                </c:pt>
                <c:pt idx="161">
                  <c:v>Sat, 11 06 22</c:v>
                </c:pt>
                <c:pt idx="162">
                  <c:v>Sun, 12 06 22</c:v>
                </c:pt>
                <c:pt idx="163">
                  <c:v>Mon, 13 06 22</c:v>
                </c:pt>
                <c:pt idx="164">
                  <c:v>Tue, 14 06 22</c:v>
                </c:pt>
                <c:pt idx="165">
                  <c:v>Wed, 15 06 22</c:v>
                </c:pt>
                <c:pt idx="166">
                  <c:v>Thu, 16 06 22</c:v>
                </c:pt>
                <c:pt idx="167">
                  <c:v>Fri, 17 06 22</c:v>
                </c:pt>
                <c:pt idx="168">
                  <c:v>Sat, 18 06 22</c:v>
                </c:pt>
                <c:pt idx="169">
                  <c:v>Sun, 19 06 22</c:v>
                </c:pt>
                <c:pt idx="170">
                  <c:v>Mon, 20 06 22</c:v>
                </c:pt>
                <c:pt idx="171">
                  <c:v>Tue, 21 06 22</c:v>
                </c:pt>
                <c:pt idx="172">
                  <c:v>Wed, 22 06 22</c:v>
                </c:pt>
                <c:pt idx="173">
                  <c:v>Thu, 23 06 22</c:v>
                </c:pt>
                <c:pt idx="174">
                  <c:v>Fri, 24 06 22</c:v>
                </c:pt>
                <c:pt idx="175">
                  <c:v>Sat, 25 06 22</c:v>
                </c:pt>
                <c:pt idx="176">
                  <c:v>Sun, 26 06 22</c:v>
                </c:pt>
                <c:pt idx="177">
                  <c:v>Mon, 27 06 22</c:v>
                </c:pt>
                <c:pt idx="178">
                  <c:v>Tue, 28 06 22</c:v>
                </c:pt>
                <c:pt idx="179">
                  <c:v>Wed, 29 06 22</c:v>
                </c:pt>
                <c:pt idx="180">
                  <c:v>Thu, 30 06 22</c:v>
                </c:pt>
                <c:pt idx="181">
                  <c:v>Fri, 01 07 22</c:v>
                </c:pt>
                <c:pt idx="182">
                  <c:v>Sat, 02 07 22</c:v>
                </c:pt>
                <c:pt idx="183">
                  <c:v>Sun, 03 07 22</c:v>
                </c:pt>
                <c:pt idx="184">
                  <c:v>Mon, 04 07 22</c:v>
                </c:pt>
                <c:pt idx="185">
                  <c:v>Tue, 05 07 22</c:v>
                </c:pt>
                <c:pt idx="186">
                  <c:v>Wed, 06 07 22</c:v>
                </c:pt>
                <c:pt idx="187">
                  <c:v>Thu, 07 07 22</c:v>
                </c:pt>
                <c:pt idx="188">
                  <c:v>Fri, 08 07 22</c:v>
                </c:pt>
                <c:pt idx="189">
                  <c:v>Sat, 09 07 22</c:v>
                </c:pt>
                <c:pt idx="190">
                  <c:v>Sun, 10 07 22</c:v>
                </c:pt>
                <c:pt idx="191">
                  <c:v>Mon, 11 07 22</c:v>
                </c:pt>
                <c:pt idx="192">
                  <c:v>Tue, 12 07 22</c:v>
                </c:pt>
                <c:pt idx="193">
                  <c:v>Wed, 13 07 22</c:v>
                </c:pt>
                <c:pt idx="194">
                  <c:v>Thu, 14 07 22</c:v>
                </c:pt>
                <c:pt idx="195">
                  <c:v>Fri, 15 07 22</c:v>
                </c:pt>
                <c:pt idx="196">
                  <c:v>Sat, 16 07 22</c:v>
                </c:pt>
                <c:pt idx="197">
                  <c:v>Sun, 17 07 22</c:v>
                </c:pt>
                <c:pt idx="198">
                  <c:v>Mon, 18 07 22</c:v>
                </c:pt>
                <c:pt idx="199">
                  <c:v>Tue, 19 07 22</c:v>
                </c:pt>
                <c:pt idx="200">
                  <c:v>Wed, 20 07 22</c:v>
                </c:pt>
                <c:pt idx="201">
                  <c:v>Thu, 21 07 22</c:v>
                </c:pt>
                <c:pt idx="202">
                  <c:v>Fri, 22 07 22</c:v>
                </c:pt>
                <c:pt idx="203">
                  <c:v>Sat, 23 07 22</c:v>
                </c:pt>
                <c:pt idx="204">
                  <c:v>Sun, 24 07 22</c:v>
                </c:pt>
                <c:pt idx="205">
                  <c:v>Mon, 25 07 22</c:v>
                </c:pt>
                <c:pt idx="206">
                  <c:v>Tue, 26 07 22</c:v>
                </c:pt>
                <c:pt idx="207">
                  <c:v>Wed, 27 07 22</c:v>
                </c:pt>
                <c:pt idx="208">
                  <c:v>Thu, 28 07 22</c:v>
                </c:pt>
                <c:pt idx="209">
                  <c:v>Fri, 29 07 22</c:v>
                </c:pt>
                <c:pt idx="210">
                  <c:v>Sat, 30 07 22</c:v>
                </c:pt>
                <c:pt idx="211">
                  <c:v>Sun, 31 07 22</c:v>
                </c:pt>
                <c:pt idx="212">
                  <c:v>Mon, 01 08 22</c:v>
                </c:pt>
                <c:pt idx="213">
                  <c:v>Tue, 02 08 22</c:v>
                </c:pt>
                <c:pt idx="214">
                  <c:v>Wed, 03 08 22</c:v>
                </c:pt>
                <c:pt idx="215">
                  <c:v>Thu, 04 08 22</c:v>
                </c:pt>
                <c:pt idx="216">
                  <c:v>Fri, 05 08 22</c:v>
                </c:pt>
                <c:pt idx="217">
                  <c:v>Sat, 06 08 22</c:v>
                </c:pt>
                <c:pt idx="218">
                  <c:v>Sun, 07 08 22</c:v>
                </c:pt>
                <c:pt idx="219">
                  <c:v>Mon, 08 08 22</c:v>
                </c:pt>
                <c:pt idx="220">
                  <c:v>Tue, 09 08 22</c:v>
                </c:pt>
                <c:pt idx="221">
                  <c:v>Wed, 10 08 22</c:v>
                </c:pt>
                <c:pt idx="222">
                  <c:v>Thu, 11 08 22</c:v>
                </c:pt>
                <c:pt idx="223">
                  <c:v>Fri, 12 08 22</c:v>
                </c:pt>
                <c:pt idx="224">
                  <c:v>Sat, 13 08 22</c:v>
                </c:pt>
                <c:pt idx="225">
                  <c:v>Sun, 14 08 22</c:v>
                </c:pt>
                <c:pt idx="226">
                  <c:v>Mon, 15 08 22</c:v>
                </c:pt>
                <c:pt idx="227">
                  <c:v>Tue, 16 08 22</c:v>
                </c:pt>
                <c:pt idx="228">
                  <c:v>Wed, 17 08 22</c:v>
                </c:pt>
                <c:pt idx="229">
                  <c:v>Thu, 18 08 22</c:v>
                </c:pt>
                <c:pt idx="230">
                  <c:v>Fri, 19 08 22</c:v>
                </c:pt>
                <c:pt idx="231">
                  <c:v>Sat, 20 08 22</c:v>
                </c:pt>
                <c:pt idx="232">
                  <c:v>Sun, 21 08 22</c:v>
                </c:pt>
                <c:pt idx="233">
                  <c:v>Mon, 22 08 22</c:v>
                </c:pt>
                <c:pt idx="234">
                  <c:v>Tue, 23 08 22</c:v>
                </c:pt>
                <c:pt idx="235">
                  <c:v>Wed, 24 08 22</c:v>
                </c:pt>
                <c:pt idx="236">
                  <c:v>Thu, 25 08 22</c:v>
                </c:pt>
                <c:pt idx="237">
                  <c:v>Fri, 26 08 22</c:v>
                </c:pt>
                <c:pt idx="238">
                  <c:v>Sat, 27 08 22</c:v>
                </c:pt>
                <c:pt idx="239">
                  <c:v>Sun, 28 08 22</c:v>
                </c:pt>
                <c:pt idx="240">
                  <c:v>Mon, 29 08 22</c:v>
                </c:pt>
                <c:pt idx="241">
                  <c:v>Tue, 30 08 22</c:v>
                </c:pt>
                <c:pt idx="242">
                  <c:v>Wed, 31 08 22</c:v>
                </c:pt>
                <c:pt idx="243">
                  <c:v>Thu, 01 09 22</c:v>
                </c:pt>
                <c:pt idx="244">
                  <c:v>Fri, 02 09 22</c:v>
                </c:pt>
                <c:pt idx="245">
                  <c:v>Sat, 03 09 22</c:v>
                </c:pt>
                <c:pt idx="246">
                  <c:v>Sun, 04 09 22</c:v>
                </c:pt>
                <c:pt idx="247">
                  <c:v>Mon, 05 09 22</c:v>
                </c:pt>
                <c:pt idx="248">
                  <c:v>Tue, 06 09 22</c:v>
                </c:pt>
                <c:pt idx="249">
                  <c:v>Wed, 07 09 22</c:v>
                </c:pt>
                <c:pt idx="250">
                  <c:v>Thu, 08 09 22</c:v>
                </c:pt>
                <c:pt idx="251">
                  <c:v>Fri, 09 09 22</c:v>
                </c:pt>
                <c:pt idx="252">
                  <c:v>Sat, 10 09 22</c:v>
                </c:pt>
                <c:pt idx="253">
                  <c:v>Sun, 11 09 22</c:v>
                </c:pt>
                <c:pt idx="254">
                  <c:v>Mon, 12 09 22</c:v>
                </c:pt>
                <c:pt idx="255">
                  <c:v>Tue, 13 09 22</c:v>
                </c:pt>
                <c:pt idx="256">
                  <c:v>Wed, 14 09 22</c:v>
                </c:pt>
                <c:pt idx="257">
                  <c:v>Thu, 15 09 22</c:v>
                </c:pt>
                <c:pt idx="258">
                  <c:v>Fri, 16 09 22</c:v>
                </c:pt>
                <c:pt idx="259">
                  <c:v>Sat, 17 09 22</c:v>
                </c:pt>
                <c:pt idx="260">
                  <c:v>Sun, 18 09 22</c:v>
                </c:pt>
                <c:pt idx="261">
                  <c:v>Mon, 19 09 22</c:v>
                </c:pt>
                <c:pt idx="262">
                  <c:v>Tue, 20 09 22</c:v>
                </c:pt>
                <c:pt idx="263">
                  <c:v>Wed, 21 09 22</c:v>
                </c:pt>
                <c:pt idx="264">
                  <c:v>Thu, 22 09 22</c:v>
                </c:pt>
                <c:pt idx="265">
                  <c:v>Fri, 23 09 22</c:v>
                </c:pt>
                <c:pt idx="266">
                  <c:v>Sat, 24 09 22</c:v>
                </c:pt>
                <c:pt idx="267">
                  <c:v>Sun, 25 09 22</c:v>
                </c:pt>
                <c:pt idx="268">
                  <c:v>Mon, 26 09 22</c:v>
                </c:pt>
                <c:pt idx="269">
                  <c:v>Tue, 27 09 22</c:v>
                </c:pt>
                <c:pt idx="270">
                  <c:v>Wed, 28 09 22</c:v>
                </c:pt>
                <c:pt idx="271">
                  <c:v>Thu, 29 09 22</c:v>
                </c:pt>
                <c:pt idx="272">
                  <c:v>Fri, 30 09 22</c:v>
                </c:pt>
                <c:pt idx="273">
                  <c:v>Sat, 01 10 22</c:v>
                </c:pt>
                <c:pt idx="274">
                  <c:v>Sun, 02 10 22</c:v>
                </c:pt>
                <c:pt idx="275">
                  <c:v>Mon, 03 10 22</c:v>
                </c:pt>
                <c:pt idx="276">
                  <c:v>Tue, 04 10 22</c:v>
                </c:pt>
                <c:pt idx="277">
                  <c:v>Wed, 05 10 22</c:v>
                </c:pt>
                <c:pt idx="278">
                  <c:v>Thu, 06 10 22</c:v>
                </c:pt>
                <c:pt idx="279">
                  <c:v>Fri, 07 10 22</c:v>
                </c:pt>
                <c:pt idx="280">
                  <c:v>Sat, 08 10 22</c:v>
                </c:pt>
                <c:pt idx="281">
                  <c:v>Sun, 09 10 22</c:v>
                </c:pt>
                <c:pt idx="282">
                  <c:v>Mon, 10 10 22</c:v>
                </c:pt>
                <c:pt idx="283">
                  <c:v>Tue, 11 10 22</c:v>
                </c:pt>
                <c:pt idx="284">
                  <c:v>Wed, 12 10 22</c:v>
                </c:pt>
                <c:pt idx="285">
                  <c:v>Thu, 13 10 22</c:v>
                </c:pt>
                <c:pt idx="286">
                  <c:v>Fri, 14 10 22</c:v>
                </c:pt>
                <c:pt idx="287">
                  <c:v>Sat, 15 10 22</c:v>
                </c:pt>
                <c:pt idx="288">
                  <c:v>Sun, 16 10 22</c:v>
                </c:pt>
                <c:pt idx="289">
                  <c:v>Mon, 17 10 22</c:v>
                </c:pt>
                <c:pt idx="290">
                  <c:v>Tue, 18 10 22</c:v>
                </c:pt>
                <c:pt idx="291">
                  <c:v>Wed, 19 10 22</c:v>
                </c:pt>
                <c:pt idx="292">
                  <c:v>Thu, 20 10 22</c:v>
                </c:pt>
                <c:pt idx="293">
                  <c:v>Fri, 21 10 22</c:v>
                </c:pt>
                <c:pt idx="294">
                  <c:v>Sat, 22 10 22</c:v>
                </c:pt>
                <c:pt idx="295">
                  <c:v>Sun, 23 10 22</c:v>
                </c:pt>
                <c:pt idx="296">
                  <c:v>Mon, 24 10 22</c:v>
                </c:pt>
                <c:pt idx="297">
                  <c:v>Tue, 25 10 22</c:v>
                </c:pt>
                <c:pt idx="298">
                  <c:v>Wed, 26 10 22</c:v>
                </c:pt>
                <c:pt idx="299">
                  <c:v>Thu, 27 10 22</c:v>
                </c:pt>
                <c:pt idx="300">
                  <c:v>Fri, 28 10 22</c:v>
                </c:pt>
                <c:pt idx="301">
                  <c:v>Sat, 29 10 22</c:v>
                </c:pt>
                <c:pt idx="302">
                  <c:v>Sun, 30 10 22</c:v>
                </c:pt>
                <c:pt idx="303">
                  <c:v>Mon, 31 10 22</c:v>
                </c:pt>
                <c:pt idx="304">
                  <c:v>Tue, 01 11 22</c:v>
                </c:pt>
                <c:pt idx="305">
                  <c:v>Wed, 02 11 22</c:v>
                </c:pt>
                <c:pt idx="306">
                  <c:v>Thu, 03 11 22</c:v>
                </c:pt>
                <c:pt idx="307">
                  <c:v>Fri, 04 11 22</c:v>
                </c:pt>
                <c:pt idx="308">
                  <c:v>Sat, 05 11 22</c:v>
                </c:pt>
                <c:pt idx="309">
                  <c:v>Sun, 06 11 22</c:v>
                </c:pt>
                <c:pt idx="310">
                  <c:v>Mon, 07 11 22</c:v>
                </c:pt>
                <c:pt idx="311">
                  <c:v>Tue, 08 11 22</c:v>
                </c:pt>
                <c:pt idx="312">
                  <c:v>Wed, 09 11 22</c:v>
                </c:pt>
                <c:pt idx="313">
                  <c:v>Thu, 10 11 22</c:v>
                </c:pt>
                <c:pt idx="314">
                  <c:v>Fri, 11 11 22</c:v>
                </c:pt>
                <c:pt idx="315">
                  <c:v>Sat, 12 11 22</c:v>
                </c:pt>
                <c:pt idx="316">
                  <c:v>Sun, 13 11 22</c:v>
                </c:pt>
                <c:pt idx="317">
                  <c:v>Mon, 14 11 22</c:v>
                </c:pt>
                <c:pt idx="318">
                  <c:v>Tue, 15 11 22</c:v>
                </c:pt>
                <c:pt idx="319">
                  <c:v>Wed, 16 11 22</c:v>
                </c:pt>
                <c:pt idx="320">
                  <c:v>Thu, 17 11 22</c:v>
                </c:pt>
                <c:pt idx="321">
                  <c:v>Fri, 18 11 22</c:v>
                </c:pt>
                <c:pt idx="322">
                  <c:v>Sat, 19 11 22</c:v>
                </c:pt>
                <c:pt idx="323">
                  <c:v>Sun, 20 11 22</c:v>
                </c:pt>
                <c:pt idx="324">
                  <c:v>Mon, 21 11 22</c:v>
                </c:pt>
                <c:pt idx="325">
                  <c:v>Tue, 22 11 22</c:v>
                </c:pt>
                <c:pt idx="326">
                  <c:v>Wed, 23 11 22</c:v>
                </c:pt>
                <c:pt idx="327">
                  <c:v>Thu, 24 11 22</c:v>
                </c:pt>
                <c:pt idx="328">
                  <c:v>Fri, 25 11 22</c:v>
                </c:pt>
                <c:pt idx="329">
                  <c:v>Sat, 26 11 22</c:v>
                </c:pt>
                <c:pt idx="330">
                  <c:v>Sun, 27 11 22</c:v>
                </c:pt>
                <c:pt idx="331">
                  <c:v>Mon, 28 11 22</c:v>
                </c:pt>
                <c:pt idx="332">
                  <c:v>Tue, 29 11 22</c:v>
                </c:pt>
                <c:pt idx="333">
                  <c:v>Wed, 30 11 22</c:v>
                </c:pt>
                <c:pt idx="334">
                  <c:v>Thu, 01 12 22</c:v>
                </c:pt>
                <c:pt idx="335">
                  <c:v>Fri, 02 12 22</c:v>
                </c:pt>
                <c:pt idx="336">
                  <c:v>Sat, 03 12 22</c:v>
                </c:pt>
                <c:pt idx="337">
                  <c:v>Sun, 04 12 22</c:v>
                </c:pt>
                <c:pt idx="338">
                  <c:v>Mon, 05 12 22</c:v>
                </c:pt>
                <c:pt idx="339">
                  <c:v>Tue, 06 12 22</c:v>
                </c:pt>
                <c:pt idx="340">
                  <c:v>Wed, 07 12 22</c:v>
                </c:pt>
                <c:pt idx="341">
                  <c:v>Thu, 08 12 22</c:v>
                </c:pt>
                <c:pt idx="342">
                  <c:v>Fri, 09 12 22</c:v>
                </c:pt>
                <c:pt idx="343">
                  <c:v>Sat, 10 12 22</c:v>
                </c:pt>
                <c:pt idx="344">
                  <c:v>Sun, 11 12 22</c:v>
                </c:pt>
                <c:pt idx="345">
                  <c:v>Mon, 12 12 22</c:v>
                </c:pt>
                <c:pt idx="346">
                  <c:v>Tue, 13 12 22</c:v>
                </c:pt>
                <c:pt idx="347">
                  <c:v>Wed, 14 12 22</c:v>
                </c:pt>
                <c:pt idx="348">
                  <c:v>Thu, 15 12 22</c:v>
                </c:pt>
                <c:pt idx="349">
                  <c:v>Fri, 16 12 22</c:v>
                </c:pt>
                <c:pt idx="350">
                  <c:v>Sat, 17 12 22</c:v>
                </c:pt>
                <c:pt idx="351">
                  <c:v>Sun, 18 12 22</c:v>
                </c:pt>
                <c:pt idx="352">
                  <c:v>Mon, 19 12 22</c:v>
                </c:pt>
                <c:pt idx="353">
                  <c:v>Tue, 20 12 22</c:v>
                </c:pt>
                <c:pt idx="354">
                  <c:v>Wed, 21 12 22</c:v>
                </c:pt>
                <c:pt idx="355">
                  <c:v>Thu, 22 12 22</c:v>
                </c:pt>
                <c:pt idx="356">
                  <c:v>Fri, 23 12 22</c:v>
                </c:pt>
                <c:pt idx="357">
                  <c:v>Sat, 24 12 22</c:v>
                </c:pt>
                <c:pt idx="358">
                  <c:v>Sun, 25 12 22</c:v>
                </c:pt>
                <c:pt idx="359">
                  <c:v>Mon, 26 12 22</c:v>
                </c:pt>
                <c:pt idx="360">
                  <c:v>Tue, 27 12 22</c:v>
                </c:pt>
                <c:pt idx="361">
                  <c:v>Wed, 28 12 22</c:v>
                </c:pt>
                <c:pt idx="362">
                  <c:v>Thu, 29 12 22</c:v>
                </c:pt>
                <c:pt idx="363">
                  <c:v>Fri, 30 12 22</c:v>
                </c:pt>
                <c:pt idx="364">
                  <c:v>Sat, 31 12 22</c:v>
                </c:pt>
              </c:strCache>
            </c:strRef>
          </c:cat>
          <c:val>
            <c:numRef>
              <c:f>'Cycle_and_pedestrian data'!$E$2:$E$366</c:f>
              <c:numCache>
                <c:formatCode>General</c:formatCode>
                <c:ptCount val="365"/>
                <c:pt idx="0">
                  <c:v>142</c:v>
                </c:pt>
                <c:pt idx="1">
                  <c:v>829</c:v>
                </c:pt>
                <c:pt idx="2">
                  <c:v>801</c:v>
                </c:pt>
                <c:pt idx="3">
                  <c:v>578</c:v>
                </c:pt>
                <c:pt idx="4">
                  <c:v>588</c:v>
                </c:pt>
                <c:pt idx="5">
                  <c:v>371</c:v>
                </c:pt>
                <c:pt idx="6">
                  <c:v>349</c:v>
                </c:pt>
                <c:pt idx="7">
                  <c:v>211</c:v>
                </c:pt>
                <c:pt idx="8">
                  <c:v>879</c:v>
                </c:pt>
                <c:pt idx="9">
                  <c:v>515</c:v>
                </c:pt>
                <c:pt idx="10">
                  <c:v>604</c:v>
                </c:pt>
                <c:pt idx="11">
                  <c:v>707</c:v>
                </c:pt>
                <c:pt idx="12">
                  <c:v>668</c:v>
                </c:pt>
                <c:pt idx="13">
                  <c:v>772</c:v>
                </c:pt>
                <c:pt idx="14">
                  <c:v>785</c:v>
                </c:pt>
                <c:pt idx="15">
                  <c:v>730</c:v>
                </c:pt>
                <c:pt idx="16">
                  <c:v>526</c:v>
                </c:pt>
                <c:pt idx="17">
                  <c:v>681</c:v>
                </c:pt>
                <c:pt idx="18">
                  <c:v>688</c:v>
                </c:pt>
                <c:pt idx="19">
                  <c:v>121</c:v>
                </c:pt>
                <c:pt idx="20">
                  <c:v>728</c:v>
                </c:pt>
                <c:pt idx="21">
                  <c:v>740</c:v>
                </c:pt>
                <c:pt idx="22">
                  <c:v>1058</c:v>
                </c:pt>
                <c:pt idx="23">
                  <c:v>540</c:v>
                </c:pt>
                <c:pt idx="24">
                  <c:v>712</c:v>
                </c:pt>
                <c:pt idx="25">
                  <c:v>716</c:v>
                </c:pt>
                <c:pt idx="26">
                  <c:v>547</c:v>
                </c:pt>
                <c:pt idx="27">
                  <c:v>410</c:v>
                </c:pt>
                <c:pt idx="28">
                  <c:v>774</c:v>
                </c:pt>
                <c:pt idx="29">
                  <c:v>1020</c:v>
                </c:pt>
                <c:pt idx="30">
                  <c:v>496</c:v>
                </c:pt>
                <c:pt idx="31">
                  <c:v>712</c:v>
                </c:pt>
                <c:pt idx="32">
                  <c:v>610</c:v>
                </c:pt>
                <c:pt idx="33">
                  <c:v>284</c:v>
                </c:pt>
                <c:pt idx="34">
                  <c:v>733</c:v>
                </c:pt>
                <c:pt idx="35">
                  <c:v>901</c:v>
                </c:pt>
                <c:pt idx="36">
                  <c:v>967</c:v>
                </c:pt>
                <c:pt idx="37">
                  <c:v>538</c:v>
                </c:pt>
                <c:pt idx="38">
                  <c:v>924</c:v>
                </c:pt>
                <c:pt idx="39">
                  <c:v>873</c:v>
                </c:pt>
                <c:pt idx="40">
                  <c:v>804</c:v>
                </c:pt>
                <c:pt idx="41">
                  <c:v>965</c:v>
                </c:pt>
                <c:pt idx="42">
                  <c:v>837</c:v>
                </c:pt>
                <c:pt idx="43">
                  <c:v>954</c:v>
                </c:pt>
                <c:pt idx="44">
                  <c:v>414</c:v>
                </c:pt>
                <c:pt idx="45">
                  <c:v>713</c:v>
                </c:pt>
                <c:pt idx="46">
                  <c:v>850</c:v>
                </c:pt>
                <c:pt idx="47">
                  <c:v>729</c:v>
                </c:pt>
                <c:pt idx="48">
                  <c:v>921</c:v>
                </c:pt>
                <c:pt idx="49">
                  <c:v>817</c:v>
                </c:pt>
                <c:pt idx="50">
                  <c:v>783</c:v>
                </c:pt>
                <c:pt idx="51">
                  <c:v>581</c:v>
                </c:pt>
                <c:pt idx="52">
                  <c:v>766</c:v>
                </c:pt>
                <c:pt idx="53">
                  <c:v>178</c:v>
                </c:pt>
                <c:pt idx="54">
                  <c:v>181</c:v>
                </c:pt>
                <c:pt idx="55">
                  <c:v>73</c:v>
                </c:pt>
                <c:pt idx="56">
                  <c:v>19</c:v>
                </c:pt>
                <c:pt idx="57">
                  <c:v>26</c:v>
                </c:pt>
                <c:pt idx="58">
                  <c:v>193</c:v>
                </c:pt>
                <c:pt idx="59">
                  <c:v>204</c:v>
                </c:pt>
                <c:pt idx="60">
                  <c:v>304</c:v>
                </c:pt>
                <c:pt idx="61">
                  <c:v>107</c:v>
                </c:pt>
                <c:pt idx="62">
                  <c:v>268</c:v>
                </c:pt>
                <c:pt idx="63">
                  <c:v>400</c:v>
                </c:pt>
                <c:pt idx="64">
                  <c:v>401</c:v>
                </c:pt>
                <c:pt idx="65">
                  <c:v>378</c:v>
                </c:pt>
                <c:pt idx="66">
                  <c:v>494</c:v>
                </c:pt>
                <c:pt idx="67">
                  <c:v>366</c:v>
                </c:pt>
                <c:pt idx="68">
                  <c:v>490</c:v>
                </c:pt>
                <c:pt idx="69">
                  <c:v>522</c:v>
                </c:pt>
                <c:pt idx="70">
                  <c:v>531</c:v>
                </c:pt>
                <c:pt idx="71">
                  <c:v>635</c:v>
                </c:pt>
                <c:pt idx="72">
                  <c:v>445</c:v>
                </c:pt>
                <c:pt idx="73">
                  <c:v>583</c:v>
                </c:pt>
                <c:pt idx="74">
                  <c:v>559</c:v>
                </c:pt>
                <c:pt idx="75">
                  <c:v>496</c:v>
                </c:pt>
                <c:pt idx="76">
                  <c:v>587</c:v>
                </c:pt>
                <c:pt idx="77">
                  <c:v>696</c:v>
                </c:pt>
                <c:pt idx="78">
                  <c:v>801</c:v>
                </c:pt>
                <c:pt idx="79">
                  <c:v>458</c:v>
                </c:pt>
                <c:pt idx="80">
                  <c:v>589</c:v>
                </c:pt>
                <c:pt idx="81">
                  <c:v>599</c:v>
                </c:pt>
                <c:pt idx="82">
                  <c:v>614</c:v>
                </c:pt>
                <c:pt idx="83">
                  <c:v>581</c:v>
                </c:pt>
                <c:pt idx="84">
                  <c:v>554</c:v>
                </c:pt>
                <c:pt idx="85">
                  <c:v>640</c:v>
                </c:pt>
                <c:pt idx="86">
                  <c:v>100</c:v>
                </c:pt>
                <c:pt idx="87">
                  <c:v>122</c:v>
                </c:pt>
                <c:pt idx="88">
                  <c:v>348</c:v>
                </c:pt>
                <c:pt idx="89">
                  <c:v>599</c:v>
                </c:pt>
                <c:pt idx="90">
                  <c:v>630</c:v>
                </c:pt>
                <c:pt idx="91">
                  <c:v>676</c:v>
                </c:pt>
                <c:pt idx="92">
                  <c:v>762</c:v>
                </c:pt>
                <c:pt idx="93">
                  <c:v>424</c:v>
                </c:pt>
                <c:pt idx="94">
                  <c:v>635</c:v>
                </c:pt>
                <c:pt idx="95">
                  <c:v>641</c:v>
                </c:pt>
                <c:pt idx="96">
                  <c:v>394</c:v>
                </c:pt>
                <c:pt idx="97">
                  <c:v>485</c:v>
                </c:pt>
                <c:pt idx="98">
                  <c:v>371</c:v>
                </c:pt>
                <c:pt idx="99">
                  <c:v>590</c:v>
                </c:pt>
                <c:pt idx="100">
                  <c:v>449</c:v>
                </c:pt>
                <c:pt idx="101">
                  <c:v>591</c:v>
                </c:pt>
                <c:pt idx="102">
                  <c:v>517</c:v>
                </c:pt>
                <c:pt idx="103">
                  <c:v>423</c:v>
                </c:pt>
                <c:pt idx="104">
                  <c:v>738</c:v>
                </c:pt>
                <c:pt idx="105">
                  <c:v>594</c:v>
                </c:pt>
                <c:pt idx="106">
                  <c:v>499</c:v>
                </c:pt>
                <c:pt idx="107">
                  <c:v>694</c:v>
                </c:pt>
                <c:pt idx="108">
                  <c:v>512</c:v>
                </c:pt>
                <c:pt idx="109">
                  <c:v>596</c:v>
                </c:pt>
                <c:pt idx="110">
                  <c:v>552</c:v>
                </c:pt>
                <c:pt idx="111">
                  <c:v>649</c:v>
                </c:pt>
                <c:pt idx="112">
                  <c:v>589</c:v>
                </c:pt>
                <c:pt idx="113">
                  <c:v>447</c:v>
                </c:pt>
                <c:pt idx="114">
                  <c:v>114</c:v>
                </c:pt>
                <c:pt idx="115">
                  <c:v>240</c:v>
                </c:pt>
                <c:pt idx="116">
                  <c:v>529</c:v>
                </c:pt>
                <c:pt idx="117">
                  <c:v>465</c:v>
                </c:pt>
                <c:pt idx="118">
                  <c:v>587</c:v>
                </c:pt>
                <c:pt idx="119">
                  <c:v>452</c:v>
                </c:pt>
                <c:pt idx="120">
                  <c:v>573</c:v>
                </c:pt>
                <c:pt idx="121">
                  <c:v>784</c:v>
                </c:pt>
                <c:pt idx="122">
                  <c:v>553</c:v>
                </c:pt>
                <c:pt idx="123">
                  <c:v>671</c:v>
                </c:pt>
                <c:pt idx="124">
                  <c:v>572</c:v>
                </c:pt>
                <c:pt idx="125">
                  <c:v>148</c:v>
                </c:pt>
                <c:pt idx="126">
                  <c:v>540</c:v>
                </c:pt>
                <c:pt idx="127">
                  <c:v>395</c:v>
                </c:pt>
                <c:pt idx="128">
                  <c:v>147</c:v>
                </c:pt>
                <c:pt idx="129">
                  <c:v>251</c:v>
                </c:pt>
                <c:pt idx="130">
                  <c:v>77</c:v>
                </c:pt>
                <c:pt idx="131">
                  <c:v>132</c:v>
                </c:pt>
                <c:pt idx="132">
                  <c:v>93</c:v>
                </c:pt>
                <c:pt idx="133">
                  <c:v>65</c:v>
                </c:pt>
                <c:pt idx="134">
                  <c:v>311</c:v>
                </c:pt>
                <c:pt idx="135">
                  <c:v>436</c:v>
                </c:pt>
                <c:pt idx="136">
                  <c:v>433</c:v>
                </c:pt>
                <c:pt idx="137">
                  <c:v>633</c:v>
                </c:pt>
                <c:pt idx="138">
                  <c:v>503</c:v>
                </c:pt>
                <c:pt idx="139">
                  <c:v>572</c:v>
                </c:pt>
                <c:pt idx="140">
                  <c:v>24</c:v>
                </c:pt>
                <c:pt idx="141">
                  <c:v>89</c:v>
                </c:pt>
                <c:pt idx="142">
                  <c:v>281</c:v>
                </c:pt>
                <c:pt idx="143">
                  <c:v>311</c:v>
                </c:pt>
                <c:pt idx="144">
                  <c:v>575</c:v>
                </c:pt>
                <c:pt idx="145">
                  <c:v>460</c:v>
                </c:pt>
                <c:pt idx="146">
                  <c:v>583</c:v>
                </c:pt>
                <c:pt idx="147">
                  <c:v>746</c:v>
                </c:pt>
                <c:pt idx="148">
                  <c:v>853</c:v>
                </c:pt>
                <c:pt idx="149">
                  <c:v>429</c:v>
                </c:pt>
                <c:pt idx="150">
                  <c:v>319</c:v>
                </c:pt>
                <c:pt idx="151">
                  <c:v>476</c:v>
                </c:pt>
                <c:pt idx="152">
                  <c:v>501</c:v>
                </c:pt>
                <c:pt idx="153">
                  <c:v>598</c:v>
                </c:pt>
                <c:pt idx="154">
                  <c:v>496</c:v>
                </c:pt>
                <c:pt idx="155">
                  <c:v>829</c:v>
                </c:pt>
                <c:pt idx="156">
                  <c:v>307</c:v>
                </c:pt>
                <c:pt idx="157">
                  <c:v>509</c:v>
                </c:pt>
                <c:pt idx="158">
                  <c:v>496</c:v>
                </c:pt>
                <c:pt idx="159">
                  <c:v>393</c:v>
                </c:pt>
                <c:pt idx="160">
                  <c:v>514</c:v>
                </c:pt>
                <c:pt idx="161">
                  <c:v>470</c:v>
                </c:pt>
                <c:pt idx="162">
                  <c:v>498</c:v>
                </c:pt>
                <c:pt idx="163">
                  <c:v>356</c:v>
                </c:pt>
                <c:pt idx="164">
                  <c:v>504</c:v>
                </c:pt>
                <c:pt idx="165">
                  <c:v>589</c:v>
                </c:pt>
                <c:pt idx="166">
                  <c:v>513</c:v>
                </c:pt>
                <c:pt idx="167">
                  <c:v>529</c:v>
                </c:pt>
                <c:pt idx="168">
                  <c:v>587</c:v>
                </c:pt>
                <c:pt idx="169">
                  <c:v>673</c:v>
                </c:pt>
                <c:pt idx="170">
                  <c:v>421</c:v>
                </c:pt>
                <c:pt idx="171">
                  <c:v>522</c:v>
                </c:pt>
                <c:pt idx="172">
                  <c:v>510</c:v>
                </c:pt>
                <c:pt idx="173">
                  <c:v>501</c:v>
                </c:pt>
                <c:pt idx="174">
                  <c:v>577</c:v>
                </c:pt>
                <c:pt idx="175">
                  <c:v>574</c:v>
                </c:pt>
                <c:pt idx="176">
                  <c:v>630</c:v>
                </c:pt>
                <c:pt idx="177">
                  <c:v>304</c:v>
                </c:pt>
                <c:pt idx="178">
                  <c:v>444</c:v>
                </c:pt>
                <c:pt idx="179">
                  <c:v>421</c:v>
                </c:pt>
                <c:pt idx="180">
                  <c:v>398</c:v>
                </c:pt>
                <c:pt idx="181">
                  <c:v>129</c:v>
                </c:pt>
                <c:pt idx="182">
                  <c:v>52</c:v>
                </c:pt>
                <c:pt idx="183">
                  <c:v>538</c:v>
                </c:pt>
                <c:pt idx="184">
                  <c:v>271</c:v>
                </c:pt>
                <c:pt idx="185">
                  <c:v>54</c:v>
                </c:pt>
                <c:pt idx="186">
                  <c:v>192</c:v>
                </c:pt>
                <c:pt idx="187">
                  <c:v>446</c:v>
                </c:pt>
                <c:pt idx="188">
                  <c:v>479</c:v>
                </c:pt>
                <c:pt idx="189">
                  <c:v>570</c:v>
                </c:pt>
                <c:pt idx="190">
                  <c:v>591</c:v>
                </c:pt>
                <c:pt idx="191">
                  <c:v>355</c:v>
                </c:pt>
                <c:pt idx="192">
                  <c:v>398</c:v>
                </c:pt>
                <c:pt idx="193">
                  <c:v>425</c:v>
                </c:pt>
                <c:pt idx="194">
                  <c:v>426</c:v>
                </c:pt>
                <c:pt idx="195">
                  <c:v>501</c:v>
                </c:pt>
                <c:pt idx="196">
                  <c:v>561</c:v>
                </c:pt>
                <c:pt idx="197">
                  <c:v>640</c:v>
                </c:pt>
                <c:pt idx="198">
                  <c:v>393</c:v>
                </c:pt>
                <c:pt idx="199">
                  <c:v>451</c:v>
                </c:pt>
                <c:pt idx="200">
                  <c:v>418</c:v>
                </c:pt>
                <c:pt idx="201">
                  <c:v>174</c:v>
                </c:pt>
                <c:pt idx="202">
                  <c:v>88</c:v>
                </c:pt>
                <c:pt idx="203">
                  <c:v>594</c:v>
                </c:pt>
                <c:pt idx="204">
                  <c:v>846</c:v>
                </c:pt>
                <c:pt idx="205">
                  <c:v>408</c:v>
                </c:pt>
                <c:pt idx="206">
                  <c:v>506</c:v>
                </c:pt>
                <c:pt idx="207">
                  <c:v>540</c:v>
                </c:pt>
                <c:pt idx="208">
                  <c:v>537</c:v>
                </c:pt>
                <c:pt idx="209">
                  <c:v>551</c:v>
                </c:pt>
                <c:pt idx="210">
                  <c:v>591</c:v>
                </c:pt>
                <c:pt idx="211">
                  <c:v>627</c:v>
                </c:pt>
                <c:pt idx="212">
                  <c:v>251</c:v>
                </c:pt>
                <c:pt idx="213">
                  <c:v>500</c:v>
                </c:pt>
                <c:pt idx="214">
                  <c:v>582</c:v>
                </c:pt>
                <c:pt idx="215">
                  <c:v>497</c:v>
                </c:pt>
                <c:pt idx="216">
                  <c:v>626</c:v>
                </c:pt>
                <c:pt idx="217">
                  <c:v>306</c:v>
                </c:pt>
                <c:pt idx="218">
                  <c:v>748</c:v>
                </c:pt>
                <c:pt idx="219">
                  <c:v>385</c:v>
                </c:pt>
                <c:pt idx="220">
                  <c:v>443</c:v>
                </c:pt>
                <c:pt idx="221">
                  <c:v>763</c:v>
                </c:pt>
                <c:pt idx="222">
                  <c:v>455</c:v>
                </c:pt>
                <c:pt idx="223">
                  <c:v>526</c:v>
                </c:pt>
                <c:pt idx="224">
                  <c:v>159</c:v>
                </c:pt>
                <c:pt idx="225">
                  <c:v>684</c:v>
                </c:pt>
                <c:pt idx="226">
                  <c:v>401</c:v>
                </c:pt>
                <c:pt idx="227">
                  <c:v>510</c:v>
                </c:pt>
                <c:pt idx="228">
                  <c:v>559</c:v>
                </c:pt>
                <c:pt idx="229">
                  <c:v>490</c:v>
                </c:pt>
                <c:pt idx="230">
                  <c:v>581</c:v>
                </c:pt>
                <c:pt idx="231">
                  <c:v>575</c:v>
                </c:pt>
                <c:pt idx="232">
                  <c:v>717</c:v>
                </c:pt>
                <c:pt idx="233">
                  <c:v>420</c:v>
                </c:pt>
                <c:pt idx="234">
                  <c:v>565</c:v>
                </c:pt>
                <c:pt idx="235">
                  <c:v>434</c:v>
                </c:pt>
                <c:pt idx="236">
                  <c:v>472</c:v>
                </c:pt>
                <c:pt idx="237">
                  <c:v>571</c:v>
                </c:pt>
                <c:pt idx="238">
                  <c:v>578</c:v>
                </c:pt>
                <c:pt idx="239">
                  <c:v>686</c:v>
                </c:pt>
                <c:pt idx="240">
                  <c:v>326</c:v>
                </c:pt>
                <c:pt idx="241">
                  <c:v>413</c:v>
                </c:pt>
                <c:pt idx="242">
                  <c:v>274</c:v>
                </c:pt>
                <c:pt idx="243">
                  <c:v>495</c:v>
                </c:pt>
                <c:pt idx="244">
                  <c:v>479</c:v>
                </c:pt>
                <c:pt idx="245">
                  <c:v>104</c:v>
                </c:pt>
                <c:pt idx="246">
                  <c:v>639</c:v>
                </c:pt>
                <c:pt idx="247">
                  <c:v>397</c:v>
                </c:pt>
                <c:pt idx="248">
                  <c:v>612</c:v>
                </c:pt>
                <c:pt idx="249">
                  <c:v>521</c:v>
                </c:pt>
                <c:pt idx="250">
                  <c:v>497</c:v>
                </c:pt>
                <c:pt idx="251">
                  <c:v>143</c:v>
                </c:pt>
                <c:pt idx="252">
                  <c:v>610</c:v>
                </c:pt>
                <c:pt idx="253">
                  <c:v>742</c:v>
                </c:pt>
                <c:pt idx="254">
                  <c:v>409</c:v>
                </c:pt>
                <c:pt idx="255">
                  <c:v>588</c:v>
                </c:pt>
                <c:pt idx="256">
                  <c:v>529</c:v>
                </c:pt>
                <c:pt idx="257">
                  <c:v>544</c:v>
                </c:pt>
                <c:pt idx="258">
                  <c:v>192</c:v>
                </c:pt>
                <c:pt idx="259">
                  <c:v>565</c:v>
                </c:pt>
                <c:pt idx="260">
                  <c:v>772</c:v>
                </c:pt>
                <c:pt idx="261">
                  <c:v>371</c:v>
                </c:pt>
                <c:pt idx="262">
                  <c:v>497</c:v>
                </c:pt>
                <c:pt idx="263">
                  <c:v>476</c:v>
                </c:pt>
                <c:pt idx="264">
                  <c:v>118</c:v>
                </c:pt>
                <c:pt idx="265">
                  <c:v>352</c:v>
                </c:pt>
                <c:pt idx="266">
                  <c:v>653</c:v>
                </c:pt>
                <c:pt idx="267">
                  <c:v>777</c:v>
                </c:pt>
                <c:pt idx="268">
                  <c:v>373</c:v>
                </c:pt>
                <c:pt idx="269">
                  <c:v>514</c:v>
                </c:pt>
                <c:pt idx="270">
                  <c:v>369</c:v>
                </c:pt>
                <c:pt idx="271">
                  <c:v>444</c:v>
                </c:pt>
                <c:pt idx="272">
                  <c:v>617</c:v>
                </c:pt>
                <c:pt idx="273">
                  <c:v>696</c:v>
                </c:pt>
                <c:pt idx="274">
                  <c:v>213</c:v>
                </c:pt>
                <c:pt idx="275">
                  <c:v>803</c:v>
                </c:pt>
                <c:pt idx="276">
                  <c:v>528</c:v>
                </c:pt>
                <c:pt idx="277">
                  <c:v>675</c:v>
                </c:pt>
                <c:pt idx="278">
                  <c:v>386</c:v>
                </c:pt>
                <c:pt idx="279">
                  <c:v>675</c:v>
                </c:pt>
                <c:pt idx="280">
                  <c:v>664</c:v>
                </c:pt>
                <c:pt idx="281">
                  <c:v>307</c:v>
                </c:pt>
                <c:pt idx="282">
                  <c:v>468</c:v>
                </c:pt>
                <c:pt idx="283">
                  <c:v>686</c:v>
                </c:pt>
                <c:pt idx="284">
                  <c:v>655</c:v>
                </c:pt>
                <c:pt idx="285">
                  <c:v>608</c:v>
                </c:pt>
                <c:pt idx="286">
                  <c:v>693</c:v>
                </c:pt>
                <c:pt idx="287">
                  <c:v>732</c:v>
                </c:pt>
                <c:pt idx="288">
                  <c:v>886</c:v>
                </c:pt>
                <c:pt idx="289">
                  <c:v>447</c:v>
                </c:pt>
                <c:pt idx="290">
                  <c:v>607</c:v>
                </c:pt>
                <c:pt idx="291">
                  <c:v>408</c:v>
                </c:pt>
                <c:pt idx="292">
                  <c:v>252</c:v>
                </c:pt>
                <c:pt idx="293">
                  <c:v>330</c:v>
                </c:pt>
                <c:pt idx="294">
                  <c:v>120</c:v>
                </c:pt>
                <c:pt idx="295">
                  <c:v>42</c:v>
                </c:pt>
                <c:pt idx="296">
                  <c:v>511</c:v>
                </c:pt>
                <c:pt idx="297">
                  <c:v>242</c:v>
                </c:pt>
                <c:pt idx="298">
                  <c:v>727</c:v>
                </c:pt>
                <c:pt idx="299">
                  <c:v>559</c:v>
                </c:pt>
                <c:pt idx="300">
                  <c:v>668</c:v>
                </c:pt>
                <c:pt idx="301">
                  <c:v>686</c:v>
                </c:pt>
                <c:pt idx="302">
                  <c:v>611</c:v>
                </c:pt>
                <c:pt idx="303">
                  <c:v>470</c:v>
                </c:pt>
                <c:pt idx="304">
                  <c:v>135</c:v>
                </c:pt>
                <c:pt idx="305">
                  <c:v>588</c:v>
                </c:pt>
                <c:pt idx="306">
                  <c:v>651</c:v>
                </c:pt>
                <c:pt idx="307">
                  <c:v>716</c:v>
                </c:pt>
                <c:pt idx="308">
                  <c:v>670</c:v>
                </c:pt>
                <c:pt idx="309">
                  <c:v>760</c:v>
                </c:pt>
                <c:pt idx="310">
                  <c:v>477</c:v>
                </c:pt>
                <c:pt idx="311">
                  <c:v>591</c:v>
                </c:pt>
                <c:pt idx="312">
                  <c:v>708</c:v>
                </c:pt>
                <c:pt idx="313">
                  <c:v>553</c:v>
                </c:pt>
                <c:pt idx="314">
                  <c:v>738</c:v>
                </c:pt>
                <c:pt idx="315">
                  <c:v>620</c:v>
                </c:pt>
                <c:pt idx="316">
                  <c:v>656</c:v>
                </c:pt>
                <c:pt idx="317">
                  <c:v>427</c:v>
                </c:pt>
                <c:pt idx="318">
                  <c:v>580</c:v>
                </c:pt>
                <c:pt idx="319">
                  <c:v>635</c:v>
                </c:pt>
                <c:pt idx="320">
                  <c:v>603</c:v>
                </c:pt>
                <c:pt idx="321">
                  <c:v>697</c:v>
                </c:pt>
                <c:pt idx="322">
                  <c:v>669</c:v>
                </c:pt>
                <c:pt idx="323">
                  <c:v>634</c:v>
                </c:pt>
                <c:pt idx="324">
                  <c:v>434</c:v>
                </c:pt>
                <c:pt idx="325">
                  <c:v>637</c:v>
                </c:pt>
                <c:pt idx="326">
                  <c:v>687</c:v>
                </c:pt>
                <c:pt idx="327">
                  <c:v>605</c:v>
                </c:pt>
                <c:pt idx="328">
                  <c:v>672</c:v>
                </c:pt>
                <c:pt idx="329">
                  <c:v>612</c:v>
                </c:pt>
                <c:pt idx="330">
                  <c:v>613</c:v>
                </c:pt>
                <c:pt idx="331">
                  <c:v>360</c:v>
                </c:pt>
                <c:pt idx="332">
                  <c:v>514</c:v>
                </c:pt>
                <c:pt idx="333">
                  <c:v>404</c:v>
                </c:pt>
                <c:pt idx="334">
                  <c:v>65</c:v>
                </c:pt>
                <c:pt idx="335">
                  <c:v>415</c:v>
                </c:pt>
                <c:pt idx="336">
                  <c:v>607</c:v>
                </c:pt>
                <c:pt idx="337">
                  <c:v>635</c:v>
                </c:pt>
                <c:pt idx="338">
                  <c:v>425</c:v>
                </c:pt>
                <c:pt idx="339">
                  <c:v>556</c:v>
                </c:pt>
                <c:pt idx="340">
                  <c:v>541</c:v>
                </c:pt>
                <c:pt idx="341">
                  <c:v>195</c:v>
                </c:pt>
                <c:pt idx="342">
                  <c:v>582</c:v>
                </c:pt>
                <c:pt idx="343">
                  <c:v>611</c:v>
                </c:pt>
                <c:pt idx="344">
                  <c:v>661</c:v>
                </c:pt>
                <c:pt idx="345">
                  <c:v>429</c:v>
                </c:pt>
                <c:pt idx="346">
                  <c:v>548</c:v>
                </c:pt>
                <c:pt idx="347">
                  <c:v>534</c:v>
                </c:pt>
                <c:pt idx="348">
                  <c:v>513</c:v>
                </c:pt>
                <c:pt idx="349">
                  <c:v>576</c:v>
                </c:pt>
                <c:pt idx="350">
                  <c:v>631</c:v>
                </c:pt>
                <c:pt idx="351">
                  <c:v>585</c:v>
                </c:pt>
                <c:pt idx="352">
                  <c:v>398</c:v>
                </c:pt>
                <c:pt idx="353">
                  <c:v>613</c:v>
                </c:pt>
                <c:pt idx="354">
                  <c:v>597</c:v>
                </c:pt>
                <c:pt idx="355">
                  <c:v>595</c:v>
                </c:pt>
                <c:pt idx="356">
                  <c:v>687</c:v>
                </c:pt>
                <c:pt idx="357">
                  <c:v>617</c:v>
                </c:pt>
                <c:pt idx="358">
                  <c:v>290</c:v>
                </c:pt>
                <c:pt idx="359">
                  <c:v>380</c:v>
                </c:pt>
                <c:pt idx="360">
                  <c:v>410</c:v>
                </c:pt>
                <c:pt idx="361">
                  <c:v>550</c:v>
                </c:pt>
                <c:pt idx="362">
                  <c:v>486</c:v>
                </c:pt>
                <c:pt idx="363">
                  <c:v>430</c:v>
                </c:pt>
                <c:pt idx="364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00-4416-98A2-4F4B8DC96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417328"/>
        <c:axId val="1289418288"/>
      </c:lineChart>
      <c:catAx>
        <c:axId val="128941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18288"/>
        <c:crosses val="autoZero"/>
        <c:auto val="1"/>
        <c:lblAlgn val="ctr"/>
        <c:lblOffset val="100"/>
        <c:noMultiLvlLbl val="0"/>
      </c:catAx>
      <c:valAx>
        <c:axId val="128941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1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000"/>
              <a:t>2.1</a:t>
            </a:r>
            <a:r>
              <a:rPr lang="en-AU" sz="3000" baseline="0"/>
              <a:t> </a:t>
            </a:r>
          </a:p>
          <a:p>
            <a:pPr>
              <a:defRPr sz="3000"/>
            </a:pPr>
            <a:r>
              <a:rPr lang="en-AU" sz="3000" baseline="0"/>
              <a:t>Overall sumnation bar chart </a:t>
            </a:r>
            <a:endParaRPr lang="en-AU" sz="3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'Cycle_and_pedestrian data'!$O$350:$R$350</c:f>
              <c:strCache>
                <c:ptCount val="4"/>
                <c:pt idx="0">
                  <c:v>EC</c:v>
                </c:pt>
                <c:pt idx="1">
                  <c:v>EP</c:v>
                </c:pt>
                <c:pt idx="2">
                  <c:v>JP</c:v>
                </c:pt>
                <c:pt idx="3">
                  <c:v>JC</c:v>
                </c:pt>
              </c:strCache>
            </c:strRef>
          </c:cat>
          <c:val>
            <c:numRef>
              <c:f>'Cycle_and_pedestrian data'!$O$351:$R$351</c:f>
              <c:numCache>
                <c:formatCode>General</c:formatCode>
                <c:ptCount val="4"/>
                <c:pt idx="0">
                  <c:v>292881.59999999998</c:v>
                </c:pt>
                <c:pt idx="1">
                  <c:v>533346.38</c:v>
                </c:pt>
                <c:pt idx="2">
                  <c:v>206556</c:v>
                </c:pt>
                <c:pt idx="3">
                  <c:v>187489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1-4A4A-B485-2B10D39CC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409168"/>
        <c:axId val="1289412048"/>
      </c:barChart>
      <c:catAx>
        <c:axId val="128940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12048"/>
        <c:crosses val="autoZero"/>
        <c:auto val="1"/>
        <c:lblAlgn val="ctr"/>
        <c:lblOffset val="100"/>
        <c:noMultiLvlLbl val="0"/>
      </c:catAx>
      <c:valAx>
        <c:axId val="12894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Usage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40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000"/>
              <a:t>3.2</a:t>
            </a:r>
          </a:p>
          <a:p>
            <a:pPr>
              <a:defRPr sz="3000"/>
            </a:pPr>
            <a:r>
              <a:rPr lang="en-AU" sz="3000"/>
              <a:t>Scatter Plot For </a:t>
            </a:r>
            <a:r>
              <a:rPr lang="en-AU" sz="3000" b="0" i="0" u="none" strike="noStrike" baseline="0">
                <a:effectLst/>
              </a:rPr>
              <a:t>Eleanor Schonell Bridge in St Lucia </a:t>
            </a:r>
            <a:r>
              <a:rPr lang="en-AU" sz="3000"/>
              <a:t>(Cyclist vs Pedestrians)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'Cycle_and_pedestrian data'!$B$2:$B$366</c:f>
              <c:numCache>
                <c:formatCode>General</c:formatCode>
                <c:ptCount val="365"/>
                <c:pt idx="0">
                  <c:v>270.39999999999998</c:v>
                </c:pt>
                <c:pt idx="1">
                  <c:v>880.1</c:v>
                </c:pt>
                <c:pt idx="2">
                  <c:v>888.55</c:v>
                </c:pt>
                <c:pt idx="3">
                  <c:v>1041.3</c:v>
                </c:pt>
                <c:pt idx="4">
                  <c:v>1011.4</c:v>
                </c:pt>
                <c:pt idx="5">
                  <c:v>698.75</c:v>
                </c:pt>
                <c:pt idx="6">
                  <c:v>642.85</c:v>
                </c:pt>
                <c:pt idx="7">
                  <c:v>369.2</c:v>
                </c:pt>
                <c:pt idx="8">
                  <c:v>1043.9000000000001</c:v>
                </c:pt>
                <c:pt idx="9">
                  <c:v>1019.2</c:v>
                </c:pt>
                <c:pt idx="10">
                  <c:v>1060.1500000000001</c:v>
                </c:pt>
                <c:pt idx="11">
                  <c:v>1150.5</c:v>
                </c:pt>
                <c:pt idx="12">
                  <c:v>1119.3</c:v>
                </c:pt>
                <c:pt idx="13">
                  <c:v>1076.4000000000001</c:v>
                </c:pt>
                <c:pt idx="14">
                  <c:v>1053</c:v>
                </c:pt>
                <c:pt idx="15">
                  <c:v>943.8</c:v>
                </c:pt>
                <c:pt idx="16">
                  <c:v>1086.8</c:v>
                </c:pt>
                <c:pt idx="17">
                  <c:v>1318.2</c:v>
                </c:pt>
                <c:pt idx="18">
                  <c:v>1151.8</c:v>
                </c:pt>
                <c:pt idx="19">
                  <c:v>449.15</c:v>
                </c:pt>
                <c:pt idx="20">
                  <c:v>1075.0999999999999</c:v>
                </c:pt>
                <c:pt idx="21">
                  <c:v>881.4</c:v>
                </c:pt>
                <c:pt idx="22">
                  <c:v>1250.5999999999999</c:v>
                </c:pt>
                <c:pt idx="23">
                  <c:v>1272.7</c:v>
                </c:pt>
                <c:pt idx="24">
                  <c:v>1398.8</c:v>
                </c:pt>
                <c:pt idx="25">
                  <c:v>738.4</c:v>
                </c:pt>
                <c:pt idx="26">
                  <c:v>1159.5999999999999</c:v>
                </c:pt>
                <c:pt idx="27">
                  <c:v>793.65</c:v>
                </c:pt>
                <c:pt idx="28">
                  <c:v>956.8</c:v>
                </c:pt>
                <c:pt idx="29">
                  <c:v>1162.2</c:v>
                </c:pt>
                <c:pt idx="30">
                  <c:v>1327.95</c:v>
                </c:pt>
                <c:pt idx="31">
                  <c:v>1361.1</c:v>
                </c:pt>
                <c:pt idx="32">
                  <c:v>1146.5999999999999</c:v>
                </c:pt>
                <c:pt idx="33">
                  <c:v>796.25</c:v>
                </c:pt>
                <c:pt idx="34">
                  <c:v>1184.3</c:v>
                </c:pt>
                <c:pt idx="35">
                  <c:v>1083.55</c:v>
                </c:pt>
                <c:pt idx="36">
                  <c:v>1062.75</c:v>
                </c:pt>
                <c:pt idx="37">
                  <c:v>1301.95</c:v>
                </c:pt>
                <c:pt idx="38">
                  <c:v>1641.9</c:v>
                </c:pt>
                <c:pt idx="39">
                  <c:v>1548.95</c:v>
                </c:pt>
                <c:pt idx="40">
                  <c:v>1519.7</c:v>
                </c:pt>
                <c:pt idx="41">
                  <c:v>1464.45</c:v>
                </c:pt>
                <c:pt idx="42">
                  <c:v>901.55</c:v>
                </c:pt>
                <c:pt idx="43">
                  <c:v>1196.6500000000001</c:v>
                </c:pt>
                <c:pt idx="44">
                  <c:v>1210.3</c:v>
                </c:pt>
                <c:pt idx="45">
                  <c:v>1546.35</c:v>
                </c:pt>
                <c:pt idx="46">
                  <c:v>1675.05</c:v>
                </c:pt>
                <c:pt idx="47">
                  <c:v>1631.5</c:v>
                </c:pt>
                <c:pt idx="48">
                  <c:v>1444.95</c:v>
                </c:pt>
                <c:pt idx="49">
                  <c:v>939.25</c:v>
                </c:pt>
                <c:pt idx="50">
                  <c:v>995.8</c:v>
                </c:pt>
                <c:pt idx="51">
                  <c:v>1774.5</c:v>
                </c:pt>
                <c:pt idx="52">
                  <c:v>1667.9</c:v>
                </c:pt>
                <c:pt idx="53">
                  <c:v>676.65</c:v>
                </c:pt>
                <c:pt idx="54">
                  <c:v>817.7</c:v>
                </c:pt>
                <c:pt idx="55">
                  <c:v>276.89999999999998</c:v>
                </c:pt>
                <c:pt idx="56">
                  <c:v>70.2</c:v>
                </c:pt>
                <c:pt idx="57">
                  <c:v>40.299999999999997</c:v>
                </c:pt>
                <c:pt idx="58">
                  <c:v>487.5</c:v>
                </c:pt>
                <c:pt idx="59">
                  <c:v>443.3</c:v>
                </c:pt>
                <c:pt idx="60">
                  <c:v>536.25</c:v>
                </c:pt>
                <c:pt idx="61">
                  <c:v>280.8</c:v>
                </c:pt>
                <c:pt idx="62">
                  <c:v>479.7</c:v>
                </c:pt>
                <c:pt idx="63">
                  <c:v>574.6</c:v>
                </c:pt>
                <c:pt idx="64">
                  <c:v>641.54999999999995</c:v>
                </c:pt>
                <c:pt idx="65">
                  <c:v>1560.65</c:v>
                </c:pt>
                <c:pt idx="66">
                  <c:v>1909.05</c:v>
                </c:pt>
                <c:pt idx="67">
                  <c:v>1463.15</c:v>
                </c:pt>
                <c:pt idx="68">
                  <c:v>1849.25</c:v>
                </c:pt>
                <c:pt idx="69">
                  <c:v>1529.45</c:v>
                </c:pt>
                <c:pt idx="70">
                  <c:v>900.9</c:v>
                </c:pt>
                <c:pt idx="71">
                  <c:v>953.55</c:v>
                </c:pt>
                <c:pt idx="72">
                  <c:v>1805.7</c:v>
                </c:pt>
                <c:pt idx="73">
                  <c:v>2181.4</c:v>
                </c:pt>
                <c:pt idx="74">
                  <c:v>2011.1</c:v>
                </c:pt>
                <c:pt idx="75">
                  <c:v>1895.4</c:v>
                </c:pt>
                <c:pt idx="76">
                  <c:v>1682.2</c:v>
                </c:pt>
                <c:pt idx="77">
                  <c:v>1046.5</c:v>
                </c:pt>
                <c:pt idx="78">
                  <c:v>1059.5</c:v>
                </c:pt>
                <c:pt idx="79">
                  <c:v>1788.8</c:v>
                </c:pt>
                <c:pt idx="80">
                  <c:v>2168.4</c:v>
                </c:pt>
                <c:pt idx="81">
                  <c:v>2060.5</c:v>
                </c:pt>
                <c:pt idx="82">
                  <c:v>1945.45</c:v>
                </c:pt>
                <c:pt idx="83">
                  <c:v>1576.9</c:v>
                </c:pt>
                <c:pt idx="84">
                  <c:v>869.7</c:v>
                </c:pt>
                <c:pt idx="85">
                  <c:v>892.45</c:v>
                </c:pt>
                <c:pt idx="86">
                  <c:v>449.15</c:v>
                </c:pt>
                <c:pt idx="87">
                  <c:v>685.1</c:v>
                </c:pt>
                <c:pt idx="88">
                  <c:v>1198.5999999999999</c:v>
                </c:pt>
                <c:pt idx="89">
                  <c:v>1794.65</c:v>
                </c:pt>
                <c:pt idx="90">
                  <c:v>1587.3</c:v>
                </c:pt>
                <c:pt idx="91">
                  <c:v>1006.2</c:v>
                </c:pt>
                <c:pt idx="92">
                  <c:v>991.25</c:v>
                </c:pt>
                <c:pt idx="93">
                  <c:v>1457.95</c:v>
                </c:pt>
                <c:pt idx="94">
                  <c:v>1745.25</c:v>
                </c:pt>
                <c:pt idx="95">
                  <c:v>1687.4</c:v>
                </c:pt>
                <c:pt idx="96">
                  <c:v>1438.45</c:v>
                </c:pt>
                <c:pt idx="97">
                  <c:v>1341.6</c:v>
                </c:pt>
                <c:pt idx="98">
                  <c:v>570.70000000000005</c:v>
                </c:pt>
                <c:pt idx="99">
                  <c:v>954.2</c:v>
                </c:pt>
                <c:pt idx="100">
                  <c:v>1501.5</c:v>
                </c:pt>
                <c:pt idx="101">
                  <c:v>1576.25</c:v>
                </c:pt>
                <c:pt idx="102">
                  <c:v>1376.05</c:v>
                </c:pt>
                <c:pt idx="103">
                  <c:v>1316.25</c:v>
                </c:pt>
                <c:pt idx="104">
                  <c:v>968.5</c:v>
                </c:pt>
                <c:pt idx="105">
                  <c:v>724.75</c:v>
                </c:pt>
                <c:pt idx="106">
                  <c:v>729.95</c:v>
                </c:pt>
                <c:pt idx="107">
                  <c:v>934.05</c:v>
                </c:pt>
                <c:pt idx="108">
                  <c:v>1461.85</c:v>
                </c:pt>
                <c:pt idx="109">
                  <c:v>1455.35</c:v>
                </c:pt>
                <c:pt idx="110">
                  <c:v>1446.9</c:v>
                </c:pt>
                <c:pt idx="111">
                  <c:v>1322.75</c:v>
                </c:pt>
                <c:pt idx="112">
                  <c:v>720.2</c:v>
                </c:pt>
                <c:pt idx="113">
                  <c:v>588.9</c:v>
                </c:pt>
                <c:pt idx="114">
                  <c:v>183.95</c:v>
                </c:pt>
                <c:pt idx="115">
                  <c:v>1185.5999999999999</c:v>
                </c:pt>
                <c:pt idx="116">
                  <c:v>1567.15</c:v>
                </c:pt>
                <c:pt idx="117">
                  <c:v>1355.25</c:v>
                </c:pt>
                <c:pt idx="118">
                  <c:v>1403.35</c:v>
                </c:pt>
                <c:pt idx="119">
                  <c:v>673.4</c:v>
                </c:pt>
                <c:pt idx="120">
                  <c:v>730.6</c:v>
                </c:pt>
                <c:pt idx="121">
                  <c:v>1064.05</c:v>
                </c:pt>
                <c:pt idx="122">
                  <c:v>1580.15</c:v>
                </c:pt>
                <c:pt idx="123">
                  <c:v>1667.25</c:v>
                </c:pt>
                <c:pt idx="124">
                  <c:v>1545.05</c:v>
                </c:pt>
                <c:pt idx="125">
                  <c:v>681.2</c:v>
                </c:pt>
                <c:pt idx="126">
                  <c:v>713.7</c:v>
                </c:pt>
                <c:pt idx="127">
                  <c:v>555.1</c:v>
                </c:pt>
                <c:pt idx="128">
                  <c:v>681.2</c:v>
                </c:pt>
                <c:pt idx="129">
                  <c:v>1112.8</c:v>
                </c:pt>
                <c:pt idx="130">
                  <c:v>462.8</c:v>
                </c:pt>
                <c:pt idx="131">
                  <c:v>476.45</c:v>
                </c:pt>
                <c:pt idx="132">
                  <c:v>439.4</c:v>
                </c:pt>
                <c:pt idx="133">
                  <c:v>176.8</c:v>
                </c:pt>
                <c:pt idx="134">
                  <c:v>488.8</c:v>
                </c:pt>
                <c:pt idx="135">
                  <c:v>1299.3499999999999</c:v>
                </c:pt>
                <c:pt idx="136">
                  <c:v>1392.3</c:v>
                </c:pt>
                <c:pt idx="137">
                  <c:v>1411.15</c:v>
                </c:pt>
                <c:pt idx="138">
                  <c:v>1327.95</c:v>
                </c:pt>
                <c:pt idx="139">
                  <c:v>1196.6500000000001</c:v>
                </c:pt>
                <c:pt idx="140">
                  <c:v>70.2</c:v>
                </c:pt>
                <c:pt idx="141">
                  <c:v>167.7</c:v>
                </c:pt>
                <c:pt idx="142">
                  <c:v>926.9</c:v>
                </c:pt>
                <c:pt idx="143">
                  <c:v>1232.4000000000001</c:v>
                </c:pt>
                <c:pt idx="144">
                  <c:v>1320.15</c:v>
                </c:pt>
                <c:pt idx="145">
                  <c:v>1315.6</c:v>
                </c:pt>
                <c:pt idx="146">
                  <c:v>1266.2</c:v>
                </c:pt>
                <c:pt idx="147">
                  <c:v>991.25</c:v>
                </c:pt>
                <c:pt idx="148">
                  <c:v>980.85</c:v>
                </c:pt>
                <c:pt idx="149">
                  <c:v>1271.4000000000001</c:v>
                </c:pt>
                <c:pt idx="150">
                  <c:v>1222</c:v>
                </c:pt>
                <c:pt idx="151">
                  <c:v>1263.5999999999999</c:v>
                </c:pt>
                <c:pt idx="152">
                  <c:v>1305.8499999999999</c:v>
                </c:pt>
                <c:pt idx="153">
                  <c:v>1235.6500000000001</c:v>
                </c:pt>
                <c:pt idx="154">
                  <c:v>784.55</c:v>
                </c:pt>
                <c:pt idx="155">
                  <c:v>1040</c:v>
                </c:pt>
                <c:pt idx="156">
                  <c:v>1041.3</c:v>
                </c:pt>
                <c:pt idx="157">
                  <c:v>1262.95</c:v>
                </c:pt>
                <c:pt idx="158">
                  <c:v>1324.7</c:v>
                </c:pt>
                <c:pt idx="159">
                  <c:v>1171.3</c:v>
                </c:pt>
                <c:pt idx="160">
                  <c:v>983.45</c:v>
                </c:pt>
                <c:pt idx="161">
                  <c:v>716.3</c:v>
                </c:pt>
                <c:pt idx="162">
                  <c:v>741</c:v>
                </c:pt>
                <c:pt idx="163">
                  <c:v>1105.6500000000001</c:v>
                </c:pt>
                <c:pt idx="164">
                  <c:v>1255.1500000000001</c:v>
                </c:pt>
                <c:pt idx="165">
                  <c:v>1267.5</c:v>
                </c:pt>
                <c:pt idx="166">
                  <c:v>1278.55</c:v>
                </c:pt>
                <c:pt idx="167">
                  <c:v>1101.75</c:v>
                </c:pt>
                <c:pt idx="168">
                  <c:v>726.05</c:v>
                </c:pt>
                <c:pt idx="169">
                  <c:v>832.65</c:v>
                </c:pt>
                <c:pt idx="170">
                  <c:v>1145.3</c:v>
                </c:pt>
                <c:pt idx="171">
                  <c:v>1256.45</c:v>
                </c:pt>
                <c:pt idx="172">
                  <c:v>1119.3</c:v>
                </c:pt>
                <c:pt idx="173">
                  <c:v>1131</c:v>
                </c:pt>
                <c:pt idx="174">
                  <c:v>947.05</c:v>
                </c:pt>
                <c:pt idx="175">
                  <c:v>767</c:v>
                </c:pt>
                <c:pt idx="176">
                  <c:v>815.75</c:v>
                </c:pt>
                <c:pt idx="177">
                  <c:v>937.95</c:v>
                </c:pt>
                <c:pt idx="178">
                  <c:v>1047.1500000000001</c:v>
                </c:pt>
                <c:pt idx="179">
                  <c:v>933.4</c:v>
                </c:pt>
                <c:pt idx="180">
                  <c:v>882.7</c:v>
                </c:pt>
                <c:pt idx="181">
                  <c:v>295.75</c:v>
                </c:pt>
                <c:pt idx="182">
                  <c:v>87.75</c:v>
                </c:pt>
                <c:pt idx="183">
                  <c:v>717.6</c:v>
                </c:pt>
                <c:pt idx="184">
                  <c:v>692.25</c:v>
                </c:pt>
                <c:pt idx="185">
                  <c:v>313.3</c:v>
                </c:pt>
                <c:pt idx="186">
                  <c:v>584.35</c:v>
                </c:pt>
                <c:pt idx="187">
                  <c:v>1020.5</c:v>
                </c:pt>
                <c:pt idx="188">
                  <c:v>919.1</c:v>
                </c:pt>
                <c:pt idx="189">
                  <c:v>673.4</c:v>
                </c:pt>
                <c:pt idx="190">
                  <c:v>739.05</c:v>
                </c:pt>
                <c:pt idx="191">
                  <c:v>997.1</c:v>
                </c:pt>
                <c:pt idx="192">
                  <c:v>937.3</c:v>
                </c:pt>
                <c:pt idx="193">
                  <c:v>1091.3499999999999</c:v>
                </c:pt>
                <c:pt idx="194">
                  <c:v>1133.5999999999999</c:v>
                </c:pt>
                <c:pt idx="195">
                  <c:v>1086.1500000000001</c:v>
                </c:pt>
                <c:pt idx="196">
                  <c:v>694.85</c:v>
                </c:pt>
                <c:pt idx="197">
                  <c:v>843.7</c:v>
                </c:pt>
                <c:pt idx="198">
                  <c:v>1088.0999999999999</c:v>
                </c:pt>
                <c:pt idx="199">
                  <c:v>1139.45</c:v>
                </c:pt>
                <c:pt idx="200">
                  <c:v>1014</c:v>
                </c:pt>
                <c:pt idx="201">
                  <c:v>609.70000000000005</c:v>
                </c:pt>
                <c:pt idx="202">
                  <c:v>371.8</c:v>
                </c:pt>
                <c:pt idx="203">
                  <c:v>570.04999999999995</c:v>
                </c:pt>
                <c:pt idx="204">
                  <c:v>1011.4</c:v>
                </c:pt>
                <c:pt idx="205">
                  <c:v>1270.0999999999999</c:v>
                </c:pt>
                <c:pt idx="206">
                  <c:v>1418.95</c:v>
                </c:pt>
                <c:pt idx="207">
                  <c:v>1342.9</c:v>
                </c:pt>
                <c:pt idx="208">
                  <c:v>1251.9000000000001</c:v>
                </c:pt>
                <c:pt idx="209">
                  <c:v>1136.8499999999999</c:v>
                </c:pt>
                <c:pt idx="210">
                  <c:v>692.9</c:v>
                </c:pt>
                <c:pt idx="211">
                  <c:v>739.7</c:v>
                </c:pt>
                <c:pt idx="212">
                  <c:v>1038.7</c:v>
                </c:pt>
                <c:pt idx="213">
                  <c:v>1417.65</c:v>
                </c:pt>
                <c:pt idx="214">
                  <c:v>1539.2</c:v>
                </c:pt>
                <c:pt idx="215">
                  <c:v>1415.7</c:v>
                </c:pt>
                <c:pt idx="216">
                  <c:v>1344.85</c:v>
                </c:pt>
                <c:pt idx="217">
                  <c:v>527.15</c:v>
                </c:pt>
                <c:pt idx="218">
                  <c:v>999.05</c:v>
                </c:pt>
                <c:pt idx="219">
                  <c:v>1301.3</c:v>
                </c:pt>
                <c:pt idx="220">
                  <c:v>1396.85</c:v>
                </c:pt>
                <c:pt idx="221">
                  <c:v>960.05</c:v>
                </c:pt>
                <c:pt idx="222">
                  <c:v>1418.95</c:v>
                </c:pt>
                <c:pt idx="223">
                  <c:v>1243.45</c:v>
                </c:pt>
                <c:pt idx="224">
                  <c:v>293.14999999999998</c:v>
                </c:pt>
                <c:pt idx="225">
                  <c:v>900.9</c:v>
                </c:pt>
                <c:pt idx="226">
                  <c:v>1360.45</c:v>
                </c:pt>
                <c:pt idx="227">
                  <c:v>1565.2</c:v>
                </c:pt>
                <c:pt idx="228">
                  <c:v>1582.1</c:v>
                </c:pt>
                <c:pt idx="229">
                  <c:v>1491.1</c:v>
                </c:pt>
                <c:pt idx="230">
                  <c:v>1368.25</c:v>
                </c:pt>
                <c:pt idx="231">
                  <c:v>823.55</c:v>
                </c:pt>
                <c:pt idx="232">
                  <c:v>900.25</c:v>
                </c:pt>
                <c:pt idx="233">
                  <c:v>903</c:v>
                </c:pt>
                <c:pt idx="234">
                  <c:v>732</c:v>
                </c:pt>
                <c:pt idx="235">
                  <c:v>484</c:v>
                </c:pt>
                <c:pt idx="236">
                  <c:v>468</c:v>
                </c:pt>
                <c:pt idx="237">
                  <c:v>498</c:v>
                </c:pt>
                <c:pt idx="238">
                  <c:v>409</c:v>
                </c:pt>
                <c:pt idx="239">
                  <c:v>463</c:v>
                </c:pt>
                <c:pt idx="240">
                  <c:v>392</c:v>
                </c:pt>
                <c:pt idx="241">
                  <c:v>435</c:v>
                </c:pt>
                <c:pt idx="242">
                  <c:v>285</c:v>
                </c:pt>
                <c:pt idx="243">
                  <c:v>393</c:v>
                </c:pt>
                <c:pt idx="244">
                  <c:v>345</c:v>
                </c:pt>
                <c:pt idx="245">
                  <c:v>111</c:v>
                </c:pt>
                <c:pt idx="246">
                  <c:v>435</c:v>
                </c:pt>
                <c:pt idx="247">
                  <c:v>960</c:v>
                </c:pt>
                <c:pt idx="248">
                  <c:v>460</c:v>
                </c:pt>
                <c:pt idx="249">
                  <c:v>486</c:v>
                </c:pt>
                <c:pt idx="250">
                  <c:v>342</c:v>
                </c:pt>
                <c:pt idx="251">
                  <c:v>120</c:v>
                </c:pt>
                <c:pt idx="252">
                  <c:v>370</c:v>
                </c:pt>
                <c:pt idx="253">
                  <c:v>396</c:v>
                </c:pt>
                <c:pt idx="254">
                  <c:v>361</c:v>
                </c:pt>
                <c:pt idx="255">
                  <c:v>455</c:v>
                </c:pt>
                <c:pt idx="256">
                  <c:v>412</c:v>
                </c:pt>
                <c:pt idx="257">
                  <c:v>372</c:v>
                </c:pt>
                <c:pt idx="258">
                  <c:v>174</c:v>
                </c:pt>
                <c:pt idx="259">
                  <c:v>252</c:v>
                </c:pt>
                <c:pt idx="260">
                  <c:v>445</c:v>
                </c:pt>
                <c:pt idx="261">
                  <c:v>403</c:v>
                </c:pt>
                <c:pt idx="262">
                  <c:v>444</c:v>
                </c:pt>
                <c:pt idx="263">
                  <c:v>256</c:v>
                </c:pt>
                <c:pt idx="264">
                  <c:v>58</c:v>
                </c:pt>
                <c:pt idx="265">
                  <c:v>193</c:v>
                </c:pt>
                <c:pt idx="266">
                  <c:v>330</c:v>
                </c:pt>
                <c:pt idx="267">
                  <c:v>448</c:v>
                </c:pt>
                <c:pt idx="268">
                  <c:v>319</c:v>
                </c:pt>
                <c:pt idx="269">
                  <c:v>397</c:v>
                </c:pt>
                <c:pt idx="270">
                  <c:v>333</c:v>
                </c:pt>
                <c:pt idx="271">
                  <c:v>307</c:v>
                </c:pt>
                <c:pt idx="272">
                  <c:v>336</c:v>
                </c:pt>
                <c:pt idx="273">
                  <c:v>282</c:v>
                </c:pt>
                <c:pt idx="274">
                  <c:v>67</c:v>
                </c:pt>
                <c:pt idx="275">
                  <c:v>508</c:v>
                </c:pt>
                <c:pt idx="276">
                  <c:v>570</c:v>
                </c:pt>
                <c:pt idx="277">
                  <c:v>460</c:v>
                </c:pt>
                <c:pt idx="278">
                  <c:v>340</c:v>
                </c:pt>
                <c:pt idx="279">
                  <c:v>338</c:v>
                </c:pt>
                <c:pt idx="280">
                  <c:v>355</c:v>
                </c:pt>
                <c:pt idx="281">
                  <c:v>174</c:v>
                </c:pt>
                <c:pt idx="282">
                  <c:v>317</c:v>
                </c:pt>
                <c:pt idx="283">
                  <c:v>422</c:v>
                </c:pt>
                <c:pt idx="284">
                  <c:v>412</c:v>
                </c:pt>
                <c:pt idx="285">
                  <c:v>388</c:v>
                </c:pt>
                <c:pt idx="286">
                  <c:v>368</c:v>
                </c:pt>
                <c:pt idx="287">
                  <c:v>346</c:v>
                </c:pt>
                <c:pt idx="288">
                  <c:v>404</c:v>
                </c:pt>
                <c:pt idx="289">
                  <c:v>290</c:v>
                </c:pt>
                <c:pt idx="290">
                  <c:v>408</c:v>
                </c:pt>
                <c:pt idx="291">
                  <c:v>210</c:v>
                </c:pt>
                <c:pt idx="292">
                  <c:v>182</c:v>
                </c:pt>
                <c:pt idx="293">
                  <c:v>133</c:v>
                </c:pt>
                <c:pt idx="294">
                  <c:v>52</c:v>
                </c:pt>
                <c:pt idx="295">
                  <c:v>20</c:v>
                </c:pt>
                <c:pt idx="296">
                  <c:v>351</c:v>
                </c:pt>
                <c:pt idx="297">
                  <c:v>229</c:v>
                </c:pt>
                <c:pt idx="298">
                  <c:v>459</c:v>
                </c:pt>
                <c:pt idx="299">
                  <c:v>301</c:v>
                </c:pt>
                <c:pt idx="300">
                  <c:v>170</c:v>
                </c:pt>
                <c:pt idx="301">
                  <c:v>258</c:v>
                </c:pt>
                <c:pt idx="302">
                  <c:v>314</c:v>
                </c:pt>
                <c:pt idx="303">
                  <c:v>324</c:v>
                </c:pt>
                <c:pt idx="304">
                  <c:v>143</c:v>
                </c:pt>
                <c:pt idx="305">
                  <c:v>372</c:v>
                </c:pt>
                <c:pt idx="306">
                  <c:v>359</c:v>
                </c:pt>
                <c:pt idx="307">
                  <c:v>320</c:v>
                </c:pt>
                <c:pt idx="308">
                  <c:v>280</c:v>
                </c:pt>
                <c:pt idx="309">
                  <c:v>338</c:v>
                </c:pt>
                <c:pt idx="310">
                  <c:v>324</c:v>
                </c:pt>
                <c:pt idx="311">
                  <c:v>399</c:v>
                </c:pt>
                <c:pt idx="312">
                  <c:v>438</c:v>
                </c:pt>
                <c:pt idx="313">
                  <c:v>335</c:v>
                </c:pt>
                <c:pt idx="314">
                  <c:v>374</c:v>
                </c:pt>
                <c:pt idx="315">
                  <c:v>329</c:v>
                </c:pt>
                <c:pt idx="316">
                  <c:v>322</c:v>
                </c:pt>
                <c:pt idx="317">
                  <c:v>327</c:v>
                </c:pt>
                <c:pt idx="318">
                  <c:v>408</c:v>
                </c:pt>
                <c:pt idx="319">
                  <c:v>454</c:v>
                </c:pt>
                <c:pt idx="320">
                  <c:v>338</c:v>
                </c:pt>
                <c:pt idx="321">
                  <c:v>338</c:v>
                </c:pt>
                <c:pt idx="322">
                  <c:v>258</c:v>
                </c:pt>
                <c:pt idx="323">
                  <c:v>349</c:v>
                </c:pt>
                <c:pt idx="324">
                  <c:v>259</c:v>
                </c:pt>
                <c:pt idx="325">
                  <c:v>348</c:v>
                </c:pt>
                <c:pt idx="326">
                  <c:v>370</c:v>
                </c:pt>
                <c:pt idx="327">
                  <c:v>308</c:v>
                </c:pt>
                <c:pt idx="328">
                  <c:v>247</c:v>
                </c:pt>
                <c:pt idx="329">
                  <c:v>261</c:v>
                </c:pt>
                <c:pt idx="330">
                  <c:v>275</c:v>
                </c:pt>
                <c:pt idx="331">
                  <c:v>272</c:v>
                </c:pt>
                <c:pt idx="332">
                  <c:v>324</c:v>
                </c:pt>
                <c:pt idx="333">
                  <c:v>266</c:v>
                </c:pt>
                <c:pt idx="334">
                  <c:v>51</c:v>
                </c:pt>
                <c:pt idx="335">
                  <c:v>248</c:v>
                </c:pt>
                <c:pt idx="336">
                  <c:v>259</c:v>
                </c:pt>
                <c:pt idx="337">
                  <c:v>277</c:v>
                </c:pt>
                <c:pt idx="338">
                  <c:v>318</c:v>
                </c:pt>
                <c:pt idx="339">
                  <c:v>356</c:v>
                </c:pt>
                <c:pt idx="340">
                  <c:v>405</c:v>
                </c:pt>
                <c:pt idx="341">
                  <c:v>249</c:v>
                </c:pt>
                <c:pt idx="342">
                  <c:v>370</c:v>
                </c:pt>
                <c:pt idx="343">
                  <c:v>299</c:v>
                </c:pt>
                <c:pt idx="344">
                  <c:v>243</c:v>
                </c:pt>
                <c:pt idx="345">
                  <c:v>299</c:v>
                </c:pt>
                <c:pt idx="346">
                  <c:v>343</c:v>
                </c:pt>
                <c:pt idx="347">
                  <c:v>334</c:v>
                </c:pt>
                <c:pt idx="348">
                  <c:v>255</c:v>
                </c:pt>
                <c:pt idx="349">
                  <c:v>300</c:v>
                </c:pt>
                <c:pt idx="350">
                  <c:v>258</c:v>
                </c:pt>
                <c:pt idx="351">
                  <c:v>239</c:v>
                </c:pt>
                <c:pt idx="352">
                  <c:v>257</c:v>
                </c:pt>
                <c:pt idx="353">
                  <c:v>302</c:v>
                </c:pt>
                <c:pt idx="354">
                  <c:v>299</c:v>
                </c:pt>
                <c:pt idx="355">
                  <c:v>278</c:v>
                </c:pt>
                <c:pt idx="356">
                  <c:v>252</c:v>
                </c:pt>
                <c:pt idx="357">
                  <c:v>266</c:v>
                </c:pt>
                <c:pt idx="358">
                  <c:v>119</c:v>
                </c:pt>
                <c:pt idx="359">
                  <c:v>200</c:v>
                </c:pt>
                <c:pt idx="360">
                  <c:v>247</c:v>
                </c:pt>
                <c:pt idx="361">
                  <c:v>258</c:v>
                </c:pt>
                <c:pt idx="362">
                  <c:v>202</c:v>
                </c:pt>
                <c:pt idx="363">
                  <c:v>146</c:v>
                </c:pt>
                <c:pt idx="364">
                  <c:v>160</c:v>
                </c:pt>
              </c:numCache>
            </c:numRef>
          </c:xVal>
          <c:yVal>
            <c:numRef>
              <c:f>'Cycle_and_pedestrian data'!$C$2:$C$366</c:f>
              <c:numCache>
                <c:formatCode>General</c:formatCode>
                <c:ptCount val="365"/>
                <c:pt idx="0">
                  <c:v>806</c:v>
                </c:pt>
                <c:pt idx="1">
                  <c:v>782</c:v>
                </c:pt>
                <c:pt idx="2">
                  <c:v>692</c:v>
                </c:pt>
                <c:pt idx="3">
                  <c:v>681</c:v>
                </c:pt>
                <c:pt idx="4">
                  <c:v>766</c:v>
                </c:pt>
                <c:pt idx="5">
                  <c:v>693</c:v>
                </c:pt>
                <c:pt idx="6">
                  <c:v>600</c:v>
                </c:pt>
                <c:pt idx="7">
                  <c:v>562</c:v>
                </c:pt>
                <c:pt idx="8">
                  <c:v>837</c:v>
                </c:pt>
                <c:pt idx="9">
                  <c:v>823</c:v>
                </c:pt>
                <c:pt idx="10">
                  <c:v>945</c:v>
                </c:pt>
                <c:pt idx="11">
                  <c:v>869</c:v>
                </c:pt>
                <c:pt idx="12">
                  <c:v>852</c:v>
                </c:pt>
                <c:pt idx="13">
                  <c:v>868</c:v>
                </c:pt>
                <c:pt idx="14">
                  <c:v>657</c:v>
                </c:pt>
                <c:pt idx="15">
                  <c:v>725</c:v>
                </c:pt>
                <c:pt idx="16">
                  <c:v>892</c:v>
                </c:pt>
                <c:pt idx="17">
                  <c:v>899</c:v>
                </c:pt>
                <c:pt idx="18">
                  <c:v>815</c:v>
                </c:pt>
                <c:pt idx="19">
                  <c:v>790</c:v>
                </c:pt>
                <c:pt idx="20">
                  <c:v>913</c:v>
                </c:pt>
                <c:pt idx="21">
                  <c:v>763</c:v>
                </c:pt>
                <c:pt idx="22">
                  <c:v>944</c:v>
                </c:pt>
                <c:pt idx="23">
                  <c:v>1117</c:v>
                </c:pt>
                <c:pt idx="24">
                  <c:v>1075</c:v>
                </c:pt>
                <c:pt idx="25">
                  <c:v>714</c:v>
                </c:pt>
                <c:pt idx="26">
                  <c:v>1001</c:v>
                </c:pt>
                <c:pt idx="27">
                  <c:v>892</c:v>
                </c:pt>
                <c:pt idx="28">
                  <c:v>872</c:v>
                </c:pt>
                <c:pt idx="29">
                  <c:v>858</c:v>
                </c:pt>
                <c:pt idx="30">
                  <c:v>935</c:v>
                </c:pt>
                <c:pt idx="31">
                  <c:v>736</c:v>
                </c:pt>
                <c:pt idx="32">
                  <c:v>856</c:v>
                </c:pt>
                <c:pt idx="33">
                  <c:v>735</c:v>
                </c:pt>
                <c:pt idx="34">
                  <c:v>1034</c:v>
                </c:pt>
                <c:pt idx="35">
                  <c:v>922</c:v>
                </c:pt>
                <c:pt idx="36">
                  <c:v>864</c:v>
                </c:pt>
                <c:pt idx="37">
                  <c:v>1140</c:v>
                </c:pt>
                <c:pt idx="38">
                  <c:v>1259</c:v>
                </c:pt>
                <c:pt idx="39">
                  <c:v>1137</c:v>
                </c:pt>
                <c:pt idx="40">
                  <c:v>1484</c:v>
                </c:pt>
                <c:pt idx="41">
                  <c:v>829</c:v>
                </c:pt>
                <c:pt idx="42">
                  <c:v>819</c:v>
                </c:pt>
                <c:pt idx="43">
                  <c:v>984</c:v>
                </c:pt>
                <c:pt idx="44">
                  <c:v>1356</c:v>
                </c:pt>
                <c:pt idx="45">
                  <c:v>1500</c:v>
                </c:pt>
                <c:pt idx="46">
                  <c:v>1560</c:v>
                </c:pt>
                <c:pt idx="47">
                  <c:v>1554</c:v>
                </c:pt>
                <c:pt idx="48">
                  <c:v>1129</c:v>
                </c:pt>
                <c:pt idx="49">
                  <c:v>934</c:v>
                </c:pt>
                <c:pt idx="50">
                  <c:v>1004</c:v>
                </c:pt>
                <c:pt idx="51">
                  <c:v>1903</c:v>
                </c:pt>
                <c:pt idx="52">
                  <c:v>1824</c:v>
                </c:pt>
                <c:pt idx="53">
                  <c:v>1560</c:v>
                </c:pt>
                <c:pt idx="54">
                  <c:v>1671</c:v>
                </c:pt>
                <c:pt idx="55">
                  <c:v>177</c:v>
                </c:pt>
                <c:pt idx="56">
                  <c:v>243</c:v>
                </c:pt>
                <c:pt idx="57">
                  <c:v>139</c:v>
                </c:pt>
                <c:pt idx="58">
                  <c:v>1608</c:v>
                </c:pt>
                <c:pt idx="59">
                  <c:v>1029</c:v>
                </c:pt>
                <c:pt idx="60">
                  <c:v>813</c:v>
                </c:pt>
                <c:pt idx="61">
                  <c:v>593</c:v>
                </c:pt>
                <c:pt idx="62">
                  <c:v>665</c:v>
                </c:pt>
                <c:pt idx="63">
                  <c:v>696</c:v>
                </c:pt>
                <c:pt idx="64">
                  <c:v>649</c:v>
                </c:pt>
                <c:pt idx="65">
                  <c:v>742.88</c:v>
                </c:pt>
                <c:pt idx="66">
                  <c:v>1804</c:v>
                </c:pt>
                <c:pt idx="67">
                  <c:v>1801</c:v>
                </c:pt>
                <c:pt idx="68">
                  <c:v>2246</c:v>
                </c:pt>
                <c:pt idx="69">
                  <c:v>1748</c:v>
                </c:pt>
                <c:pt idx="70">
                  <c:v>1006</c:v>
                </c:pt>
                <c:pt idx="71">
                  <c:v>1088</c:v>
                </c:pt>
                <c:pt idx="72">
                  <c:v>1794</c:v>
                </c:pt>
                <c:pt idx="73">
                  <c:v>2095</c:v>
                </c:pt>
                <c:pt idx="74">
                  <c:v>2103</c:v>
                </c:pt>
                <c:pt idx="75">
                  <c:v>2101</c:v>
                </c:pt>
                <c:pt idx="76">
                  <c:v>1631</c:v>
                </c:pt>
                <c:pt idx="77">
                  <c:v>1040</c:v>
                </c:pt>
                <c:pt idx="78">
                  <c:v>1048</c:v>
                </c:pt>
                <c:pt idx="79">
                  <c:v>1833</c:v>
                </c:pt>
                <c:pt idx="80">
                  <c:v>1986</c:v>
                </c:pt>
                <c:pt idx="81">
                  <c:v>1878</c:v>
                </c:pt>
                <c:pt idx="82">
                  <c:v>2006</c:v>
                </c:pt>
                <c:pt idx="83">
                  <c:v>1329</c:v>
                </c:pt>
                <c:pt idx="84">
                  <c:v>953</c:v>
                </c:pt>
                <c:pt idx="85">
                  <c:v>1016</c:v>
                </c:pt>
                <c:pt idx="86">
                  <c:v>984</c:v>
                </c:pt>
                <c:pt idx="87">
                  <c:v>1550</c:v>
                </c:pt>
                <c:pt idx="88">
                  <c:v>1906</c:v>
                </c:pt>
                <c:pt idx="89">
                  <c:v>2225</c:v>
                </c:pt>
                <c:pt idx="90">
                  <c:v>1505</c:v>
                </c:pt>
                <c:pt idx="91">
                  <c:v>1117</c:v>
                </c:pt>
                <c:pt idx="92">
                  <c:v>1025</c:v>
                </c:pt>
                <c:pt idx="93">
                  <c:v>1627</c:v>
                </c:pt>
                <c:pt idx="94">
                  <c:v>1797</c:v>
                </c:pt>
                <c:pt idx="95">
                  <c:v>1749</c:v>
                </c:pt>
                <c:pt idx="96">
                  <c:v>1771</c:v>
                </c:pt>
                <c:pt idx="97">
                  <c:v>1545</c:v>
                </c:pt>
                <c:pt idx="98">
                  <c:v>889</c:v>
                </c:pt>
                <c:pt idx="99">
                  <c:v>1084</c:v>
                </c:pt>
                <c:pt idx="100">
                  <c:v>1697</c:v>
                </c:pt>
                <c:pt idx="101">
                  <c:v>1789</c:v>
                </c:pt>
                <c:pt idx="102">
                  <c:v>1601</c:v>
                </c:pt>
                <c:pt idx="103">
                  <c:v>1566</c:v>
                </c:pt>
                <c:pt idx="104">
                  <c:v>1027</c:v>
                </c:pt>
                <c:pt idx="105">
                  <c:v>707</c:v>
                </c:pt>
                <c:pt idx="106">
                  <c:v>780</c:v>
                </c:pt>
                <c:pt idx="107">
                  <c:v>968</c:v>
                </c:pt>
                <c:pt idx="108">
                  <c:v>1296</c:v>
                </c:pt>
                <c:pt idx="109">
                  <c:v>1334</c:v>
                </c:pt>
                <c:pt idx="110">
                  <c:v>1517</c:v>
                </c:pt>
                <c:pt idx="111">
                  <c:v>1069</c:v>
                </c:pt>
                <c:pt idx="112">
                  <c:v>792</c:v>
                </c:pt>
                <c:pt idx="113">
                  <c:v>950</c:v>
                </c:pt>
                <c:pt idx="114">
                  <c:v>683</c:v>
                </c:pt>
                <c:pt idx="115">
                  <c:v>1780</c:v>
                </c:pt>
                <c:pt idx="116">
                  <c:v>1859</c:v>
                </c:pt>
                <c:pt idx="117">
                  <c:v>1933</c:v>
                </c:pt>
                <c:pt idx="118">
                  <c:v>1610</c:v>
                </c:pt>
                <c:pt idx="119">
                  <c:v>1042</c:v>
                </c:pt>
                <c:pt idx="120">
                  <c:v>1017</c:v>
                </c:pt>
                <c:pt idx="121">
                  <c:v>1257</c:v>
                </c:pt>
                <c:pt idx="122">
                  <c:v>1630</c:v>
                </c:pt>
                <c:pt idx="123">
                  <c:v>1843</c:v>
                </c:pt>
                <c:pt idx="124">
                  <c:v>2124</c:v>
                </c:pt>
                <c:pt idx="125">
                  <c:v>1255</c:v>
                </c:pt>
                <c:pt idx="126">
                  <c:v>860</c:v>
                </c:pt>
                <c:pt idx="127">
                  <c:v>1056</c:v>
                </c:pt>
                <c:pt idx="128">
                  <c:v>1212</c:v>
                </c:pt>
                <c:pt idx="129">
                  <c:v>1818</c:v>
                </c:pt>
                <c:pt idx="130">
                  <c:v>1283</c:v>
                </c:pt>
                <c:pt idx="131">
                  <c:v>761</c:v>
                </c:pt>
                <c:pt idx="132">
                  <c:v>1086</c:v>
                </c:pt>
                <c:pt idx="133">
                  <c:v>486</c:v>
                </c:pt>
                <c:pt idx="134">
                  <c:v>975</c:v>
                </c:pt>
                <c:pt idx="135">
                  <c:v>1544</c:v>
                </c:pt>
                <c:pt idx="136">
                  <c:v>1811</c:v>
                </c:pt>
                <c:pt idx="137">
                  <c:v>1747</c:v>
                </c:pt>
                <c:pt idx="138">
                  <c:v>1689</c:v>
                </c:pt>
                <c:pt idx="139">
                  <c:v>1297</c:v>
                </c:pt>
                <c:pt idx="140">
                  <c:v>375</c:v>
                </c:pt>
                <c:pt idx="141">
                  <c:v>751</c:v>
                </c:pt>
                <c:pt idx="142">
                  <c:v>1496</c:v>
                </c:pt>
                <c:pt idx="143">
                  <c:v>1895</c:v>
                </c:pt>
                <c:pt idx="144">
                  <c:v>1685</c:v>
                </c:pt>
                <c:pt idx="145">
                  <c:v>1978</c:v>
                </c:pt>
                <c:pt idx="146">
                  <c:v>1623</c:v>
                </c:pt>
                <c:pt idx="147">
                  <c:v>1083</c:v>
                </c:pt>
                <c:pt idx="148">
                  <c:v>1080</c:v>
                </c:pt>
                <c:pt idx="149">
                  <c:v>1487</c:v>
                </c:pt>
                <c:pt idx="150">
                  <c:v>1635</c:v>
                </c:pt>
                <c:pt idx="151">
                  <c:v>1548</c:v>
                </c:pt>
                <c:pt idx="152">
                  <c:v>1934</c:v>
                </c:pt>
                <c:pt idx="153">
                  <c:v>1367</c:v>
                </c:pt>
                <c:pt idx="154">
                  <c:v>1099</c:v>
                </c:pt>
                <c:pt idx="155">
                  <c:v>1348</c:v>
                </c:pt>
                <c:pt idx="156">
                  <c:v>1354</c:v>
                </c:pt>
                <c:pt idx="157">
                  <c:v>1465</c:v>
                </c:pt>
                <c:pt idx="158">
                  <c:v>1480</c:v>
                </c:pt>
                <c:pt idx="159">
                  <c:v>1780</c:v>
                </c:pt>
                <c:pt idx="160">
                  <c:v>1409</c:v>
                </c:pt>
                <c:pt idx="161">
                  <c:v>1236</c:v>
                </c:pt>
                <c:pt idx="162">
                  <c:v>1107</c:v>
                </c:pt>
                <c:pt idx="163">
                  <c:v>1619</c:v>
                </c:pt>
                <c:pt idx="164">
                  <c:v>1604</c:v>
                </c:pt>
                <c:pt idx="165">
                  <c:v>1536</c:v>
                </c:pt>
                <c:pt idx="166">
                  <c:v>1851</c:v>
                </c:pt>
                <c:pt idx="167">
                  <c:v>1367</c:v>
                </c:pt>
                <c:pt idx="168">
                  <c:v>1124</c:v>
                </c:pt>
                <c:pt idx="169">
                  <c:v>1156</c:v>
                </c:pt>
                <c:pt idx="170">
                  <c:v>1305</c:v>
                </c:pt>
                <c:pt idx="171">
                  <c:v>1279</c:v>
                </c:pt>
                <c:pt idx="172">
                  <c:v>1228</c:v>
                </c:pt>
                <c:pt idx="173">
                  <c:v>1448</c:v>
                </c:pt>
                <c:pt idx="174">
                  <c:v>1354</c:v>
                </c:pt>
                <c:pt idx="175">
                  <c:v>808</c:v>
                </c:pt>
                <c:pt idx="176">
                  <c:v>949</c:v>
                </c:pt>
                <c:pt idx="177">
                  <c:v>1170</c:v>
                </c:pt>
                <c:pt idx="178">
                  <c:v>1165</c:v>
                </c:pt>
                <c:pt idx="179">
                  <c:v>1021</c:v>
                </c:pt>
                <c:pt idx="180">
                  <c:v>1025</c:v>
                </c:pt>
                <c:pt idx="181">
                  <c:v>664</c:v>
                </c:pt>
                <c:pt idx="182">
                  <c:v>496</c:v>
                </c:pt>
                <c:pt idx="183">
                  <c:v>1042</c:v>
                </c:pt>
                <c:pt idx="184">
                  <c:v>936</c:v>
                </c:pt>
                <c:pt idx="185">
                  <c:v>779</c:v>
                </c:pt>
                <c:pt idx="186">
                  <c:v>1172</c:v>
                </c:pt>
                <c:pt idx="187">
                  <c:v>1232</c:v>
                </c:pt>
                <c:pt idx="188">
                  <c:v>1080</c:v>
                </c:pt>
                <c:pt idx="189">
                  <c:v>825</c:v>
                </c:pt>
                <c:pt idx="190">
                  <c:v>1068</c:v>
                </c:pt>
                <c:pt idx="191">
                  <c:v>1283</c:v>
                </c:pt>
                <c:pt idx="192">
                  <c:v>1287</c:v>
                </c:pt>
                <c:pt idx="193">
                  <c:v>1478</c:v>
                </c:pt>
                <c:pt idx="194">
                  <c:v>1598</c:v>
                </c:pt>
                <c:pt idx="195">
                  <c:v>1269</c:v>
                </c:pt>
                <c:pt idx="196">
                  <c:v>915</c:v>
                </c:pt>
                <c:pt idx="197">
                  <c:v>972</c:v>
                </c:pt>
                <c:pt idx="198">
                  <c:v>1425</c:v>
                </c:pt>
                <c:pt idx="199">
                  <c:v>1596</c:v>
                </c:pt>
                <c:pt idx="200">
                  <c:v>1302</c:v>
                </c:pt>
                <c:pt idx="201">
                  <c:v>1077</c:v>
                </c:pt>
                <c:pt idx="202">
                  <c:v>839</c:v>
                </c:pt>
                <c:pt idx="203">
                  <c:v>939</c:v>
                </c:pt>
                <c:pt idx="204">
                  <c:v>1068</c:v>
                </c:pt>
                <c:pt idx="205">
                  <c:v>1938</c:v>
                </c:pt>
                <c:pt idx="206">
                  <c:v>1883</c:v>
                </c:pt>
                <c:pt idx="207">
                  <c:v>1968</c:v>
                </c:pt>
                <c:pt idx="208">
                  <c:v>1821</c:v>
                </c:pt>
                <c:pt idx="209">
                  <c:v>1662</c:v>
                </c:pt>
                <c:pt idx="210">
                  <c:v>944</c:v>
                </c:pt>
                <c:pt idx="211">
                  <c:v>863</c:v>
                </c:pt>
                <c:pt idx="212">
                  <c:v>1948</c:v>
                </c:pt>
                <c:pt idx="213">
                  <c:v>2230</c:v>
                </c:pt>
                <c:pt idx="214">
                  <c:v>2197</c:v>
                </c:pt>
                <c:pt idx="215">
                  <c:v>2249</c:v>
                </c:pt>
                <c:pt idx="216">
                  <c:v>1798</c:v>
                </c:pt>
                <c:pt idx="217">
                  <c:v>1018</c:v>
                </c:pt>
                <c:pt idx="218">
                  <c:v>2084</c:v>
                </c:pt>
                <c:pt idx="219">
                  <c:v>1946</c:v>
                </c:pt>
                <c:pt idx="220">
                  <c:v>2044</c:v>
                </c:pt>
                <c:pt idx="221">
                  <c:v>1246</c:v>
                </c:pt>
                <c:pt idx="222">
                  <c:v>2313</c:v>
                </c:pt>
                <c:pt idx="223">
                  <c:v>1757</c:v>
                </c:pt>
                <c:pt idx="224">
                  <c:v>691</c:v>
                </c:pt>
                <c:pt idx="225">
                  <c:v>1317</c:v>
                </c:pt>
                <c:pt idx="226">
                  <c:v>2054</c:v>
                </c:pt>
                <c:pt idx="227">
                  <c:v>2172</c:v>
                </c:pt>
                <c:pt idx="228">
                  <c:v>2071</c:v>
                </c:pt>
                <c:pt idx="229">
                  <c:v>2138</c:v>
                </c:pt>
                <c:pt idx="230">
                  <c:v>1947</c:v>
                </c:pt>
                <c:pt idx="231">
                  <c:v>1072</c:v>
                </c:pt>
                <c:pt idx="232">
                  <c:v>1113</c:v>
                </c:pt>
                <c:pt idx="233">
                  <c:v>1694.5</c:v>
                </c:pt>
                <c:pt idx="234">
                  <c:v>1774</c:v>
                </c:pt>
                <c:pt idx="235">
                  <c:v>1690.5</c:v>
                </c:pt>
                <c:pt idx="236">
                  <c:v>1898</c:v>
                </c:pt>
                <c:pt idx="237">
                  <c:v>1620.5</c:v>
                </c:pt>
                <c:pt idx="238">
                  <c:v>1612</c:v>
                </c:pt>
                <c:pt idx="239">
                  <c:v>1927</c:v>
                </c:pt>
                <c:pt idx="240">
                  <c:v>1497.5</c:v>
                </c:pt>
                <c:pt idx="241">
                  <c:v>1627.5</c:v>
                </c:pt>
                <c:pt idx="242">
                  <c:v>1531</c:v>
                </c:pt>
                <c:pt idx="243">
                  <c:v>1966</c:v>
                </c:pt>
                <c:pt idx="244">
                  <c:v>1447</c:v>
                </c:pt>
                <c:pt idx="245">
                  <c:v>1062</c:v>
                </c:pt>
                <c:pt idx="246">
                  <c:v>1830</c:v>
                </c:pt>
                <c:pt idx="247">
                  <c:v>1624</c:v>
                </c:pt>
                <c:pt idx="248">
                  <c:v>1839.5</c:v>
                </c:pt>
                <c:pt idx="249">
                  <c:v>1946.5</c:v>
                </c:pt>
                <c:pt idx="250">
                  <c:v>1901.5</c:v>
                </c:pt>
                <c:pt idx="251">
                  <c:v>2129</c:v>
                </c:pt>
                <c:pt idx="252">
                  <c:v>2049</c:v>
                </c:pt>
                <c:pt idx="253">
                  <c:v>2105</c:v>
                </c:pt>
                <c:pt idx="254">
                  <c:v>1691.5</c:v>
                </c:pt>
                <c:pt idx="255">
                  <c:v>2069.5</c:v>
                </c:pt>
                <c:pt idx="256">
                  <c:v>1829.5</c:v>
                </c:pt>
                <c:pt idx="257">
                  <c:v>1780</c:v>
                </c:pt>
                <c:pt idx="258">
                  <c:v>1309.5</c:v>
                </c:pt>
                <c:pt idx="259">
                  <c:v>1732</c:v>
                </c:pt>
                <c:pt idx="260">
                  <c:v>2169</c:v>
                </c:pt>
                <c:pt idx="261">
                  <c:v>1748</c:v>
                </c:pt>
                <c:pt idx="262">
                  <c:v>1816</c:v>
                </c:pt>
                <c:pt idx="263">
                  <c:v>1416.5</c:v>
                </c:pt>
                <c:pt idx="264">
                  <c:v>919</c:v>
                </c:pt>
                <c:pt idx="265">
                  <c:v>2512</c:v>
                </c:pt>
                <c:pt idx="266">
                  <c:v>1683</c:v>
                </c:pt>
                <c:pt idx="267">
                  <c:v>1867</c:v>
                </c:pt>
                <c:pt idx="268">
                  <c:v>2567</c:v>
                </c:pt>
                <c:pt idx="269">
                  <c:v>2442</c:v>
                </c:pt>
                <c:pt idx="270">
                  <c:v>2425</c:v>
                </c:pt>
                <c:pt idx="271">
                  <c:v>2527</c:v>
                </c:pt>
                <c:pt idx="272">
                  <c:v>2443</c:v>
                </c:pt>
                <c:pt idx="273">
                  <c:v>1402</c:v>
                </c:pt>
                <c:pt idx="274">
                  <c:v>844</c:v>
                </c:pt>
                <c:pt idx="275">
                  <c:v>2452</c:v>
                </c:pt>
                <c:pt idx="276">
                  <c:v>2102</c:v>
                </c:pt>
                <c:pt idx="277">
                  <c:v>1755.5</c:v>
                </c:pt>
                <c:pt idx="278">
                  <c:v>1688.5</c:v>
                </c:pt>
                <c:pt idx="279">
                  <c:v>1592.5</c:v>
                </c:pt>
                <c:pt idx="280">
                  <c:v>1874</c:v>
                </c:pt>
                <c:pt idx="281">
                  <c:v>1554</c:v>
                </c:pt>
                <c:pt idx="282">
                  <c:v>1521.5</c:v>
                </c:pt>
                <c:pt idx="283">
                  <c:v>1873</c:v>
                </c:pt>
                <c:pt idx="284">
                  <c:v>1777</c:v>
                </c:pt>
                <c:pt idx="285">
                  <c:v>1845</c:v>
                </c:pt>
                <c:pt idx="286">
                  <c:v>1598</c:v>
                </c:pt>
                <c:pt idx="287">
                  <c:v>2286</c:v>
                </c:pt>
                <c:pt idx="288">
                  <c:v>2189</c:v>
                </c:pt>
                <c:pt idx="289">
                  <c:v>1614.5</c:v>
                </c:pt>
                <c:pt idx="290">
                  <c:v>1840.5</c:v>
                </c:pt>
                <c:pt idx="291">
                  <c:v>2681</c:v>
                </c:pt>
                <c:pt idx="292">
                  <c:v>1552.5</c:v>
                </c:pt>
                <c:pt idx="293">
                  <c:v>2178</c:v>
                </c:pt>
                <c:pt idx="294">
                  <c:v>894</c:v>
                </c:pt>
                <c:pt idx="295">
                  <c:v>703</c:v>
                </c:pt>
                <c:pt idx="296">
                  <c:v>1724.5</c:v>
                </c:pt>
                <c:pt idx="297">
                  <c:v>2506</c:v>
                </c:pt>
                <c:pt idx="298">
                  <c:v>1717.5</c:v>
                </c:pt>
                <c:pt idx="299">
                  <c:v>1578</c:v>
                </c:pt>
                <c:pt idx="300">
                  <c:v>2595</c:v>
                </c:pt>
                <c:pt idx="301">
                  <c:v>1725</c:v>
                </c:pt>
                <c:pt idx="302">
                  <c:v>1971</c:v>
                </c:pt>
                <c:pt idx="303">
                  <c:v>1393</c:v>
                </c:pt>
                <c:pt idx="304">
                  <c:v>2004</c:v>
                </c:pt>
                <c:pt idx="305">
                  <c:v>1499</c:v>
                </c:pt>
                <c:pt idx="306">
                  <c:v>1524.5</c:v>
                </c:pt>
                <c:pt idx="307">
                  <c:v>1448</c:v>
                </c:pt>
                <c:pt idx="308">
                  <c:v>2157</c:v>
                </c:pt>
                <c:pt idx="309">
                  <c:v>2191</c:v>
                </c:pt>
                <c:pt idx="310">
                  <c:v>1550.5</c:v>
                </c:pt>
                <c:pt idx="311">
                  <c:v>1729</c:v>
                </c:pt>
                <c:pt idx="312">
                  <c:v>1624</c:v>
                </c:pt>
                <c:pt idx="313">
                  <c:v>1667.5</c:v>
                </c:pt>
                <c:pt idx="314">
                  <c:v>1442.5</c:v>
                </c:pt>
                <c:pt idx="315">
                  <c:v>1998</c:v>
                </c:pt>
                <c:pt idx="316">
                  <c:v>1738</c:v>
                </c:pt>
                <c:pt idx="317">
                  <c:v>1424</c:v>
                </c:pt>
                <c:pt idx="318">
                  <c:v>2499</c:v>
                </c:pt>
                <c:pt idx="319">
                  <c:v>2489</c:v>
                </c:pt>
                <c:pt idx="320">
                  <c:v>1514.5</c:v>
                </c:pt>
                <c:pt idx="321">
                  <c:v>2469</c:v>
                </c:pt>
                <c:pt idx="322">
                  <c:v>1445</c:v>
                </c:pt>
                <c:pt idx="323">
                  <c:v>1275</c:v>
                </c:pt>
                <c:pt idx="324">
                  <c:v>2160</c:v>
                </c:pt>
                <c:pt idx="325">
                  <c:v>2513</c:v>
                </c:pt>
                <c:pt idx="326">
                  <c:v>2737</c:v>
                </c:pt>
                <c:pt idx="327">
                  <c:v>2669</c:v>
                </c:pt>
                <c:pt idx="328">
                  <c:v>2034</c:v>
                </c:pt>
                <c:pt idx="329">
                  <c:v>1161</c:v>
                </c:pt>
                <c:pt idx="330">
                  <c:v>1258</c:v>
                </c:pt>
                <c:pt idx="331">
                  <c:v>2005</c:v>
                </c:pt>
                <c:pt idx="332">
                  <c:v>2370</c:v>
                </c:pt>
                <c:pt idx="333">
                  <c:v>1861</c:v>
                </c:pt>
                <c:pt idx="334">
                  <c:v>916</c:v>
                </c:pt>
                <c:pt idx="335">
                  <c:v>2100</c:v>
                </c:pt>
                <c:pt idx="336">
                  <c:v>1401</c:v>
                </c:pt>
                <c:pt idx="337">
                  <c:v>1539</c:v>
                </c:pt>
                <c:pt idx="338">
                  <c:v>2155</c:v>
                </c:pt>
                <c:pt idx="339">
                  <c:v>1933</c:v>
                </c:pt>
                <c:pt idx="340">
                  <c:v>2189</c:v>
                </c:pt>
                <c:pt idx="341">
                  <c:v>1824</c:v>
                </c:pt>
                <c:pt idx="342">
                  <c:v>2476</c:v>
                </c:pt>
                <c:pt idx="343">
                  <c:v>1460</c:v>
                </c:pt>
                <c:pt idx="344">
                  <c:v>1379</c:v>
                </c:pt>
                <c:pt idx="345">
                  <c:v>2075</c:v>
                </c:pt>
                <c:pt idx="346">
                  <c:v>2344</c:v>
                </c:pt>
                <c:pt idx="347">
                  <c:v>1795</c:v>
                </c:pt>
                <c:pt idx="348">
                  <c:v>2195</c:v>
                </c:pt>
                <c:pt idx="349">
                  <c:v>2023</c:v>
                </c:pt>
                <c:pt idx="350">
                  <c:v>1408</c:v>
                </c:pt>
                <c:pt idx="351">
                  <c:v>1402</c:v>
                </c:pt>
                <c:pt idx="352">
                  <c:v>1884</c:v>
                </c:pt>
                <c:pt idx="353">
                  <c:v>2117</c:v>
                </c:pt>
                <c:pt idx="354">
                  <c:v>1993</c:v>
                </c:pt>
                <c:pt idx="355">
                  <c:v>1780</c:v>
                </c:pt>
                <c:pt idx="356">
                  <c:v>1442</c:v>
                </c:pt>
                <c:pt idx="357">
                  <c:v>1132</c:v>
                </c:pt>
                <c:pt idx="358">
                  <c:v>713</c:v>
                </c:pt>
                <c:pt idx="359">
                  <c:v>977</c:v>
                </c:pt>
                <c:pt idx="360">
                  <c:v>1145</c:v>
                </c:pt>
                <c:pt idx="361">
                  <c:v>1264</c:v>
                </c:pt>
                <c:pt idx="362">
                  <c:v>1212</c:v>
                </c:pt>
                <c:pt idx="363">
                  <c:v>913</c:v>
                </c:pt>
                <c:pt idx="364">
                  <c:v>1090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7-4E0D-BF28-6527F973C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585680"/>
        <c:axId val="1324591440"/>
      </c:scatterChart>
      <c:valAx>
        <c:axId val="132458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Pedestrians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91440"/>
        <c:crosses val="autoZero"/>
        <c:crossBetween val="midCat"/>
      </c:valAx>
      <c:valAx>
        <c:axId val="13245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Cyclist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8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/>
              <a:t>3.2Extra</a:t>
            </a:r>
          </a:p>
          <a:p>
            <a:pPr>
              <a:defRPr sz="3000"/>
            </a:pPr>
            <a:r>
              <a:rPr lang="en-US" sz="3000"/>
              <a:t>Scatter Plot for Jack Pesch Bridge</a:t>
            </a:r>
            <a:r>
              <a:rPr lang="en-US" sz="3000" baseline="0"/>
              <a:t> in</a:t>
            </a:r>
            <a:r>
              <a:rPr lang="en-US" sz="3000"/>
              <a:t> Indooroopilly (Cyclist vs Pedestrians)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'Cycle_and_pedestrian data'!$E$1</c:f>
              <c:strCache>
                <c:ptCount val="1"/>
                <c:pt idx="0">
                  <c:v>Jack Pesch Bridge, Indooroopilly Cyclist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'Cycle_and_pedestrian data'!$D$2:$D$366</c:f>
              <c:numCache>
                <c:formatCode>General</c:formatCode>
                <c:ptCount val="365"/>
                <c:pt idx="0">
                  <c:v>310</c:v>
                </c:pt>
                <c:pt idx="1">
                  <c:v>724</c:v>
                </c:pt>
                <c:pt idx="2">
                  <c:v>600</c:v>
                </c:pt>
                <c:pt idx="3">
                  <c:v>399</c:v>
                </c:pt>
                <c:pt idx="4">
                  <c:v>462</c:v>
                </c:pt>
                <c:pt idx="5">
                  <c:v>310</c:v>
                </c:pt>
                <c:pt idx="6">
                  <c:v>252</c:v>
                </c:pt>
                <c:pt idx="7">
                  <c:v>268</c:v>
                </c:pt>
                <c:pt idx="8">
                  <c:v>640</c:v>
                </c:pt>
                <c:pt idx="9">
                  <c:v>480</c:v>
                </c:pt>
                <c:pt idx="10">
                  <c:v>496</c:v>
                </c:pt>
                <c:pt idx="11">
                  <c:v>558</c:v>
                </c:pt>
                <c:pt idx="12">
                  <c:v>582</c:v>
                </c:pt>
                <c:pt idx="13">
                  <c:v>641</c:v>
                </c:pt>
                <c:pt idx="14">
                  <c:v>552</c:v>
                </c:pt>
                <c:pt idx="15">
                  <c:v>483</c:v>
                </c:pt>
                <c:pt idx="16">
                  <c:v>348</c:v>
                </c:pt>
                <c:pt idx="17">
                  <c:v>486</c:v>
                </c:pt>
                <c:pt idx="18">
                  <c:v>388</c:v>
                </c:pt>
                <c:pt idx="19">
                  <c:v>200</c:v>
                </c:pt>
                <c:pt idx="20">
                  <c:v>697</c:v>
                </c:pt>
                <c:pt idx="21">
                  <c:v>691</c:v>
                </c:pt>
                <c:pt idx="22">
                  <c:v>854</c:v>
                </c:pt>
                <c:pt idx="23">
                  <c:v>610</c:v>
                </c:pt>
                <c:pt idx="24">
                  <c:v>572</c:v>
                </c:pt>
                <c:pt idx="25">
                  <c:v>485</c:v>
                </c:pt>
                <c:pt idx="26">
                  <c:v>573</c:v>
                </c:pt>
                <c:pt idx="27">
                  <c:v>407</c:v>
                </c:pt>
                <c:pt idx="28">
                  <c:v>482</c:v>
                </c:pt>
                <c:pt idx="29">
                  <c:v>689</c:v>
                </c:pt>
                <c:pt idx="30">
                  <c:v>538</c:v>
                </c:pt>
                <c:pt idx="31">
                  <c:v>429</c:v>
                </c:pt>
                <c:pt idx="32">
                  <c:v>372</c:v>
                </c:pt>
                <c:pt idx="33">
                  <c:v>202</c:v>
                </c:pt>
                <c:pt idx="34">
                  <c:v>747</c:v>
                </c:pt>
                <c:pt idx="35">
                  <c:v>779</c:v>
                </c:pt>
                <c:pt idx="36">
                  <c:v>792</c:v>
                </c:pt>
                <c:pt idx="37">
                  <c:v>576</c:v>
                </c:pt>
                <c:pt idx="38">
                  <c:v>871</c:v>
                </c:pt>
                <c:pt idx="39">
                  <c:v>801</c:v>
                </c:pt>
                <c:pt idx="40">
                  <c:v>771</c:v>
                </c:pt>
                <c:pt idx="41">
                  <c:v>856</c:v>
                </c:pt>
                <c:pt idx="42">
                  <c:v>583</c:v>
                </c:pt>
                <c:pt idx="43">
                  <c:v>664</c:v>
                </c:pt>
                <c:pt idx="44">
                  <c:v>547</c:v>
                </c:pt>
                <c:pt idx="45">
                  <c:v>716</c:v>
                </c:pt>
                <c:pt idx="46">
                  <c:v>711</c:v>
                </c:pt>
                <c:pt idx="47">
                  <c:v>765</c:v>
                </c:pt>
                <c:pt idx="48">
                  <c:v>656</c:v>
                </c:pt>
                <c:pt idx="49">
                  <c:v>530</c:v>
                </c:pt>
                <c:pt idx="50">
                  <c:v>651</c:v>
                </c:pt>
                <c:pt idx="51">
                  <c:v>589</c:v>
                </c:pt>
                <c:pt idx="52">
                  <c:v>640</c:v>
                </c:pt>
                <c:pt idx="53">
                  <c:v>278</c:v>
                </c:pt>
                <c:pt idx="54">
                  <c:v>223</c:v>
                </c:pt>
                <c:pt idx="55">
                  <c:v>44</c:v>
                </c:pt>
                <c:pt idx="56">
                  <c:v>36</c:v>
                </c:pt>
                <c:pt idx="57">
                  <c:v>42</c:v>
                </c:pt>
                <c:pt idx="58">
                  <c:v>582</c:v>
                </c:pt>
                <c:pt idx="59">
                  <c:v>478</c:v>
                </c:pt>
                <c:pt idx="60">
                  <c:v>353</c:v>
                </c:pt>
                <c:pt idx="61">
                  <c:v>223</c:v>
                </c:pt>
                <c:pt idx="62">
                  <c:v>329</c:v>
                </c:pt>
                <c:pt idx="63">
                  <c:v>394</c:v>
                </c:pt>
                <c:pt idx="64">
                  <c:v>367</c:v>
                </c:pt>
                <c:pt idx="65">
                  <c:v>447</c:v>
                </c:pt>
                <c:pt idx="66">
                  <c:v>380</c:v>
                </c:pt>
                <c:pt idx="67">
                  <c:v>336</c:v>
                </c:pt>
                <c:pt idx="68">
                  <c:v>580</c:v>
                </c:pt>
                <c:pt idx="69">
                  <c:v>696</c:v>
                </c:pt>
                <c:pt idx="70">
                  <c:v>524</c:v>
                </c:pt>
                <c:pt idx="71">
                  <c:v>595</c:v>
                </c:pt>
                <c:pt idx="72">
                  <c:v>556</c:v>
                </c:pt>
                <c:pt idx="73">
                  <c:v>670</c:v>
                </c:pt>
                <c:pt idx="74">
                  <c:v>671</c:v>
                </c:pt>
                <c:pt idx="75">
                  <c:v>657</c:v>
                </c:pt>
                <c:pt idx="76">
                  <c:v>718</c:v>
                </c:pt>
                <c:pt idx="77">
                  <c:v>601</c:v>
                </c:pt>
                <c:pt idx="78">
                  <c:v>600</c:v>
                </c:pt>
                <c:pt idx="79">
                  <c:v>508</c:v>
                </c:pt>
                <c:pt idx="80">
                  <c:v>713</c:v>
                </c:pt>
                <c:pt idx="81">
                  <c:v>664</c:v>
                </c:pt>
                <c:pt idx="82">
                  <c:v>633</c:v>
                </c:pt>
                <c:pt idx="83">
                  <c:v>591</c:v>
                </c:pt>
                <c:pt idx="84">
                  <c:v>615</c:v>
                </c:pt>
                <c:pt idx="85">
                  <c:v>570</c:v>
                </c:pt>
                <c:pt idx="86">
                  <c:v>110</c:v>
                </c:pt>
                <c:pt idx="87">
                  <c:v>253</c:v>
                </c:pt>
                <c:pt idx="88">
                  <c:v>367</c:v>
                </c:pt>
                <c:pt idx="89">
                  <c:v>606</c:v>
                </c:pt>
                <c:pt idx="90">
                  <c:v>697</c:v>
                </c:pt>
                <c:pt idx="91">
                  <c:v>586</c:v>
                </c:pt>
                <c:pt idx="92">
                  <c:v>590</c:v>
                </c:pt>
                <c:pt idx="93">
                  <c:v>429</c:v>
                </c:pt>
                <c:pt idx="94">
                  <c:v>628</c:v>
                </c:pt>
                <c:pt idx="95">
                  <c:v>608</c:v>
                </c:pt>
                <c:pt idx="96">
                  <c:v>466</c:v>
                </c:pt>
                <c:pt idx="97">
                  <c:v>537</c:v>
                </c:pt>
                <c:pt idx="98">
                  <c:v>427</c:v>
                </c:pt>
                <c:pt idx="99">
                  <c:v>629</c:v>
                </c:pt>
                <c:pt idx="100">
                  <c:v>400</c:v>
                </c:pt>
                <c:pt idx="101">
                  <c:v>622</c:v>
                </c:pt>
                <c:pt idx="102">
                  <c:v>524</c:v>
                </c:pt>
                <c:pt idx="103">
                  <c:v>524</c:v>
                </c:pt>
                <c:pt idx="104">
                  <c:v>699</c:v>
                </c:pt>
                <c:pt idx="105">
                  <c:v>538</c:v>
                </c:pt>
                <c:pt idx="106">
                  <c:v>551</c:v>
                </c:pt>
                <c:pt idx="107">
                  <c:v>773</c:v>
                </c:pt>
                <c:pt idx="108">
                  <c:v>662</c:v>
                </c:pt>
                <c:pt idx="109">
                  <c:v>652</c:v>
                </c:pt>
                <c:pt idx="110">
                  <c:v>822</c:v>
                </c:pt>
                <c:pt idx="111">
                  <c:v>793</c:v>
                </c:pt>
                <c:pt idx="112">
                  <c:v>538</c:v>
                </c:pt>
                <c:pt idx="113">
                  <c:v>502</c:v>
                </c:pt>
                <c:pt idx="114">
                  <c:v>270</c:v>
                </c:pt>
                <c:pt idx="115">
                  <c:v>477</c:v>
                </c:pt>
                <c:pt idx="116">
                  <c:v>793</c:v>
                </c:pt>
                <c:pt idx="117">
                  <c:v>662</c:v>
                </c:pt>
                <c:pt idx="118">
                  <c:v>694</c:v>
                </c:pt>
                <c:pt idx="119">
                  <c:v>476</c:v>
                </c:pt>
                <c:pt idx="120">
                  <c:v>593</c:v>
                </c:pt>
                <c:pt idx="121">
                  <c:v>797</c:v>
                </c:pt>
                <c:pt idx="122">
                  <c:v>703</c:v>
                </c:pt>
                <c:pt idx="123">
                  <c:v>670</c:v>
                </c:pt>
                <c:pt idx="124">
                  <c:v>727</c:v>
                </c:pt>
                <c:pt idx="125">
                  <c:v>263</c:v>
                </c:pt>
                <c:pt idx="126">
                  <c:v>668</c:v>
                </c:pt>
                <c:pt idx="127">
                  <c:v>556</c:v>
                </c:pt>
                <c:pt idx="128">
                  <c:v>211</c:v>
                </c:pt>
                <c:pt idx="129">
                  <c:v>438</c:v>
                </c:pt>
                <c:pt idx="130">
                  <c:v>92</c:v>
                </c:pt>
                <c:pt idx="131">
                  <c:v>215</c:v>
                </c:pt>
                <c:pt idx="132">
                  <c:v>112</c:v>
                </c:pt>
                <c:pt idx="133">
                  <c:v>151</c:v>
                </c:pt>
                <c:pt idx="134">
                  <c:v>468</c:v>
                </c:pt>
                <c:pt idx="135">
                  <c:v>479</c:v>
                </c:pt>
                <c:pt idx="136">
                  <c:v>562</c:v>
                </c:pt>
                <c:pt idx="137">
                  <c:v>683</c:v>
                </c:pt>
                <c:pt idx="138">
                  <c:v>746</c:v>
                </c:pt>
                <c:pt idx="139">
                  <c:v>739</c:v>
                </c:pt>
                <c:pt idx="140">
                  <c:v>90</c:v>
                </c:pt>
                <c:pt idx="141">
                  <c:v>284</c:v>
                </c:pt>
                <c:pt idx="142">
                  <c:v>333</c:v>
                </c:pt>
                <c:pt idx="143">
                  <c:v>492</c:v>
                </c:pt>
                <c:pt idx="144">
                  <c:v>706</c:v>
                </c:pt>
                <c:pt idx="145">
                  <c:v>769</c:v>
                </c:pt>
                <c:pt idx="146">
                  <c:v>843</c:v>
                </c:pt>
                <c:pt idx="147">
                  <c:v>750</c:v>
                </c:pt>
                <c:pt idx="148">
                  <c:v>1198</c:v>
                </c:pt>
                <c:pt idx="149">
                  <c:v>491</c:v>
                </c:pt>
                <c:pt idx="150">
                  <c:v>495</c:v>
                </c:pt>
                <c:pt idx="151">
                  <c:v>664</c:v>
                </c:pt>
                <c:pt idx="152">
                  <c:v>779</c:v>
                </c:pt>
                <c:pt idx="153">
                  <c:v>651</c:v>
                </c:pt>
                <c:pt idx="154">
                  <c:v>543</c:v>
                </c:pt>
                <c:pt idx="155">
                  <c:v>849</c:v>
                </c:pt>
                <c:pt idx="156">
                  <c:v>333</c:v>
                </c:pt>
                <c:pt idx="157">
                  <c:v>637</c:v>
                </c:pt>
                <c:pt idx="158">
                  <c:v>635</c:v>
                </c:pt>
                <c:pt idx="159">
                  <c:v>610</c:v>
                </c:pt>
                <c:pt idx="160">
                  <c:v>578</c:v>
                </c:pt>
                <c:pt idx="161">
                  <c:v>584</c:v>
                </c:pt>
                <c:pt idx="162">
                  <c:v>605</c:v>
                </c:pt>
                <c:pt idx="163">
                  <c:v>523</c:v>
                </c:pt>
                <c:pt idx="164">
                  <c:v>589</c:v>
                </c:pt>
                <c:pt idx="165">
                  <c:v>613</c:v>
                </c:pt>
                <c:pt idx="166">
                  <c:v>655</c:v>
                </c:pt>
                <c:pt idx="167">
                  <c:v>686</c:v>
                </c:pt>
                <c:pt idx="168">
                  <c:v>648</c:v>
                </c:pt>
                <c:pt idx="169">
                  <c:v>712</c:v>
                </c:pt>
                <c:pt idx="170">
                  <c:v>496</c:v>
                </c:pt>
                <c:pt idx="171">
                  <c:v>655</c:v>
                </c:pt>
                <c:pt idx="172">
                  <c:v>677</c:v>
                </c:pt>
                <c:pt idx="173">
                  <c:v>685</c:v>
                </c:pt>
                <c:pt idx="174">
                  <c:v>618</c:v>
                </c:pt>
                <c:pt idx="175">
                  <c:v>708</c:v>
                </c:pt>
                <c:pt idx="176">
                  <c:v>712</c:v>
                </c:pt>
                <c:pt idx="177">
                  <c:v>437</c:v>
                </c:pt>
                <c:pt idx="178">
                  <c:v>623</c:v>
                </c:pt>
                <c:pt idx="179">
                  <c:v>566</c:v>
                </c:pt>
                <c:pt idx="180">
                  <c:v>529</c:v>
                </c:pt>
                <c:pt idx="181">
                  <c:v>164</c:v>
                </c:pt>
                <c:pt idx="182">
                  <c:v>186</c:v>
                </c:pt>
                <c:pt idx="183">
                  <c:v>711</c:v>
                </c:pt>
                <c:pt idx="184">
                  <c:v>257</c:v>
                </c:pt>
                <c:pt idx="185">
                  <c:v>93</c:v>
                </c:pt>
                <c:pt idx="186">
                  <c:v>318</c:v>
                </c:pt>
                <c:pt idx="187">
                  <c:v>542</c:v>
                </c:pt>
                <c:pt idx="188">
                  <c:v>654</c:v>
                </c:pt>
                <c:pt idx="189">
                  <c:v>664</c:v>
                </c:pt>
                <c:pt idx="190">
                  <c:v>708</c:v>
                </c:pt>
                <c:pt idx="191">
                  <c:v>445</c:v>
                </c:pt>
                <c:pt idx="192">
                  <c:v>509</c:v>
                </c:pt>
                <c:pt idx="193">
                  <c:v>510</c:v>
                </c:pt>
                <c:pt idx="194">
                  <c:v>571</c:v>
                </c:pt>
                <c:pt idx="195">
                  <c:v>651</c:v>
                </c:pt>
                <c:pt idx="196">
                  <c:v>691</c:v>
                </c:pt>
                <c:pt idx="197">
                  <c:v>727</c:v>
                </c:pt>
                <c:pt idx="198">
                  <c:v>525</c:v>
                </c:pt>
                <c:pt idx="199">
                  <c:v>612</c:v>
                </c:pt>
                <c:pt idx="200">
                  <c:v>550</c:v>
                </c:pt>
                <c:pt idx="201">
                  <c:v>316</c:v>
                </c:pt>
                <c:pt idx="202">
                  <c:v>137</c:v>
                </c:pt>
                <c:pt idx="203">
                  <c:v>755</c:v>
                </c:pt>
                <c:pt idx="204">
                  <c:v>938</c:v>
                </c:pt>
                <c:pt idx="205">
                  <c:v>543</c:v>
                </c:pt>
                <c:pt idx="206">
                  <c:v>605</c:v>
                </c:pt>
                <c:pt idx="207">
                  <c:v>642</c:v>
                </c:pt>
                <c:pt idx="208">
                  <c:v>636</c:v>
                </c:pt>
                <c:pt idx="209">
                  <c:v>622</c:v>
                </c:pt>
                <c:pt idx="210">
                  <c:v>677</c:v>
                </c:pt>
                <c:pt idx="211">
                  <c:v>593</c:v>
                </c:pt>
                <c:pt idx="212">
                  <c:v>448</c:v>
                </c:pt>
                <c:pt idx="213">
                  <c:v>722</c:v>
                </c:pt>
                <c:pt idx="214">
                  <c:v>690</c:v>
                </c:pt>
                <c:pt idx="215">
                  <c:v>760</c:v>
                </c:pt>
                <c:pt idx="216">
                  <c:v>693</c:v>
                </c:pt>
                <c:pt idx="217">
                  <c:v>411</c:v>
                </c:pt>
                <c:pt idx="218">
                  <c:v>779</c:v>
                </c:pt>
                <c:pt idx="219">
                  <c:v>603</c:v>
                </c:pt>
                <c:pt idx="220">
                  <c:v>626</c:v>
                </c:pt>
                <c:pt idx="221">
                  <c:v>804</c:v>
                </c:pt>
                <c:pt idx="222">
                  <c:v>606</c:v>
                </c:pt>
                <c:pt idx="223">
                  <c:v>747</c:v>
                </c:pt>
                <c:pt idx="224">
                  <c:v>329</c:v>
                </c:pt>
                <c:pt idx="225">
                  <c:v>825</c:v>
                </c:pt>
                <c:pt idx="226">
                  <c:v>574</c:v>
                </c:pt>
                <c:pt idx="227">
                  <c:v>711</c:v>
                </c:pt>
                <c:pt idx="228">
                  <c:v>743</c:v>
                </c:pt>
                <c:pt idx="229">
                  <c:v>711</c:v>
                </c:pt>
                <c:pt idx="230">
                  <c:v>728</c:v>
                </c:pt>
                <c:pt idx="231">
                  <c:v>698</c:v>
                </c:pt>
                <c:pt idx="232">
                  <c:v>784</c:v>
                </c:pt>
                <c:pt idx="233">
                  <c:v>549</c:v>
                </c:pt>
                <c:pt idx="234">
                  <c:v>736</c:v>
                </c:pt>
                <c:pt idx="235">
                  <c:v>564</c:v>
                </c:pt>
                <c:pt idx="236">
                  <c:v>713</c:v>
                </c:pt>
                <c:pt idx="237">
                  <c:v>769</c:v>
                </c:pt>
                <c:pt idx="238">
                  <c:v>671</c:v>
                </c:pt>
                <c:pt idx="239">
                  <c:v>397</c:v>
                </c:pt>
                <c:pt idx="240">
                  <c:v>497</c:v>
                </c:pt>
                <c:pt idx="241">
                  <c:v>556</c:v>
                </c:pt>
                <c:pt idx="242">
                  <c:v>427</c:v>
                </c:pt>
                <c:pt idx="243">
                  <c:v>776</c:v>
                </c:pt>
                <c:pt idx="244">
                  <c:v>543</c:v>
                </c:pt>
                <c:pt idx="245">
                  <c:v>280</c:v>
                </c:pt>
                <c:pt idx="246">
                  <c:v>766</c:v>
                </c:pt>
                <c:pt idx="247">
                  <c:v>508</c:v>
                </c:pt>
                <c:pt idx="248">
                  <c:v>744</c:v>
                </c:pt>
                <c:pt idx="249">
                  <c:v>691</c:v>
                </c:pt>
                <c:pt idx="250">
                  <c:v>704</c:v>
                </c:pt>
                <c:pt idx="251">
                  <c:v>310</c:v>
                </c:pt>
                <c:pt idx="252">
                  <c:v>652</c:v>
                </c:pt>
                <c:pt idx="253">
                  <c:v>712</c:v>
                </c:pt>
                <c:pt idx="254">
                  <c:v>549</c:v>
                </c:pt>
                <c:pt idx="255">
                  <c:v>718</c:v>
                </c:pt>
                <c:pt idx="256">
                  <c:v>692</c:v>
                </c:pt>
                <c:pt idx="257">
                  <c:v>612</c:v>
                </c:pt>
                <c:pt idx="258">
                  <c:v>314</c:v>
                </c:pt>
                <c:pt idx="259">
                  <c:v>505</c:v>
                </c:pt>
                <c:pt idx="260">
                  <c:v>743</c:v>
                </c:pt>
                <c:pt idx="261">
                  <c:v>433</c:v>
                </c:pt>
                <c:pt idx="262">
                  <c:v>598</c:v>
                </c:pt>
                <c:pt idx="263">
                  <c:v>510</c:v>
                </c:pt>
                <c:pt idx="264">
                  <c:v>269</c:v>
                </c:pt>
                <c:pt idx="265">
                  <c:v>520</c:v>
                </c:pt>
                <c:pt idx="266">
                  <c:v>668</c:v>
                </c:pt>
                <c:pt idx="267">
                  <c:v>708</c:v>
                </c:pt>
                <c:pt idx="268">
                  <c:v>494</c:v>
                </c:pt>
                <c:pt idx="269">
                  <c:v>578</c:v>
                </c:pt>
                <c:pt idx="270">
                  <c:v>467</c:v>
                </c:pt>
                <c:pt idx="271">
                  <c:v>753</c:v>
                </c:pt>
                <c:pt idx="272">
                  <c:v>716</c:v>
                </c:pt>
                <c:pt idx="273">
                  <c:v>643</c:v>
                </c:pt>
                <c:pt idx="274">
                  <c:v>333</c:v>
                </c:pt>
                <c:pt idx="275">
                  <c:v>875</c:v>
                </c:pt>
                <c:pt idx="276">
                  <c:v>718</c:v>
                </c:pt>
                <c:pt idx="277">
                  <c:v>788</c:v>
                </c:pt>
                <c:pt idx="278">
                  <c:v>608</c:v>
                </c:pt>
                <c:pt idx="279">
                  <c:v>825</c:v>
                </c:pt>
                <c:pt idx="280">
                  <c:v>837</c:v>
                </c:pt>
                <c:pt idx="281">
                  <c:v>465</c:v>
                </c:pt>
                <c:pt idx="282">
                  <c:v>606</c:v>
                </c:pt>
                <c:pt idx="283">
                  <c:v>795</c:v>
                </c:pt>
                <c:pt idx="284">
                  <c:v>750</c:v>
                </c:pt>
                <c:pt idx="285">
                  <c:v>903</c:v>
                </c:pt>
                <c:pt idx="286">
                  <c:v>633</c:v>
                </c:pt>
                <c:pt idx="287">
                  <c:v>691</c:v>
                </c:pt>
                <c:pt idx="288">
                  <c:v>689</c:v>
                </c:pt>
                <c:pt idx="289">
                  <c:v>593</c:v>
                </c:pt>
                <c:pt idx="290">
                  <c:v>787</c:v>
                </c:pt>
                <c:pt idx="291">
                  <c:v>470</c:v>
                </c:pt>
                <c:pt idx="292">
                  <c:v>414</c:v>
                </c:pt>
                <c:pt idx="293">
                  <c:v>322</c:v>
                </c:pt>
                <c:pt idx="294">
                  <c:v>197</c:v>
                </c:pt>
                <c:pt idx="295">
                  <c:v>152</c:v>
                </c:pt>
                <c:pt idx="296">
                  <c:v>563</c:v>
                </c:pt>
                <c:pt idx="297">
                  <c:v>387</c:v>
                </c:pt>
                <c:pt idx="298">
                  <c:v>647</c:v>
                </c:pt>
                <c:pt idx="299">
                  <c:v>593</c:v>
                </c:pt>
                <c:pt idx="300">
                  <c:v>508</c:v>
                </c:pt>
                <c:pt idx="301">
                  <c:v>517</c:v>
                </c:pt>
                <c:pt idx="302">
                  <c:v>485</c:v>
                </c:pt>
                <c:pt idx="303">
                  <c:v>544</c:v>
                </c:pt>
                <c:pt idx="304">
                  <c:v>314</c:v>
                </c:pt>
                <c:pt idx="305">
                  <c:v>786</c:v>
                </c:pt>
                <c:pt idx="306">
                  <c:v>808</c:v>
                </c:pt>
                <c:pt idx="307">
                  <c:v>880</c:v>
                </c:pt>
                <c:pt idx="308">
                  <c:v>744</c:v>
                </c:pt>
                <c:pt idx="309">
                  <c:v>737</c:v>
                </c:pt>
                <c:pt idx="310">
                  <c:v>593</c:v>
                </c:pt>
                <c:pt idx="311">
                  <c:v>790</c:v>
                </c:pt>
                <c:pt idx="312">
                  <c:v>790</c:v>
                </c:pt>
                <c:pt idx="313">
                  <c:v>713</c:v>
                </c:pt>
                <c:pt idx="314">
                  <c:v>847</c:v>
                </c:pt>
                <c:pt idx="315">
                  <c:v>704</c:v>
                </c:pt>
                <c:pt idx="316">
                  <c:v>662</c:v>
                </c:pt>
                <c:pt idx="317">
                  <c:v>501</c:v>
                </c:pt>
                <c:pt idx="318">
                  <c:v>530</c:v>
                </c:pt>
                <c:pt idx="319">
                  <c:v>665</c:v>
                </c:pt>
                <c:pt idx="320">
                  <c:v>745</c:v>
                </c:pt>
                <c:pt idx="321">
                  <c:v>755</c:v>
                </c:pt>
                <c:pt idx="322">
                  <c:v>637</c:v>
                </c:pt>
                <c:pt idx="323">
                  <c:v>351</c:v>
                </c:pt>
                <c:pt idx="324">
                  <c:v>286</c:v>
                </c:pt>
                <c:pt idx="325">
                  <c:v>592</c:v>
                </c:pt>
                <c:pt idx="326">
                  <c:v>667</c:v>
                </c:pt>
                <c:pt idx="327">
                  <c:v>588</c:v>
                </c:pt>
                <c:pt idx="328">
                  <c:v>659</c:v>
                </c:pt>
                <c:pt idx="329">
                  <c:v>527</c:v>
                </c:pt>
                <c:pt idx="330">
                  <c:v>467</c:v>
                </c:pt>
                <c:pt idx="331">
                  <c:v>326</c:v>
                </c:pt>
                <c:pt idx="332">
                  <c:v>487</c:v>
                </c:pt>
                <c:pt idx="333">
                  <c:v>329</c:v>
                </c:pt>
                <c:pt idx="334">
                  <c:v>70</c:v>
                </c:pt>
                <c:pt idx="335">
                  <c:v>475</c:v>
                </c:pt>
                <c:pt idx="336">
                  <c:v>566</c:v>
                </c:pt>
                <c:pt idx="337">
                  <c:v>605</c:v>
                </c:pt>
                <c:pt idx="338">
                  <c:v>446</c:v>
                </c:pt>
                <c:pt idx="339">
                  <c:v>422</c:v>
                </c:pt>
                <c:pt idx="340">
                  <c:v>488</c:v>
                </c:pt>
                <c:pt idx="341">
                  <c:v>215</c:v>
                </c:pt>
                <c:pt idx="342">
                  <c:v>708</c:v>
                </c:pt>
                <c:pt idx="343">
                  <c:v>573</c:v>
                </c:pt>
                <c:pt idx="344">
                  <c:v>568</c:v>
                </c:pt>
                <c:pt idx="345">
                  <c:v>410</c:v>
                </c:pt>
                <c:pt idx="346">
                  <c:v>555</c:v>
                </c:pt>
                <c:pt idx="347">
                  <c:v>489</c:v>
                </c:pt>
                <c:pt idx="348">
                  <c:v>545</c:v>
                </c:pt>
                <c:pt idx="349">
                  <c:v>645</c:v>
                </c:pt>
                <c:pt idx="350">
                  <c:v>655</c:v>
                </c:pt>
                <c:pt idx="351">
                  <c:v>901</c:v>
                </c:pt>
                <c:pt idx="352">
                  <c:v>485</c:v>
                </c:pt>
                <c:pt idx="353">
                  <c:v>677</c:v>
                </c:pt>
                <c:pt idx="354">
                  <c:v>654</c:v>
                </c:pt>
                <c:pt idx="355">
                  <c:v>696</c:v>
                </c:pt>
                <c:pt idx="356">
                  <c:v>625</c:v>
                </c:pt>
                <c:pt idx="357">
                  <c:v>536</c:v>
                </c:pt>
                <c:pt idx="358">
                  <c:v>314</c:v>
                </c:pt>
                <c:pt idx="359">
                  <c:v>510</c:v>
                </c:pt>
                <c:pt idx="360">
                  <c:v>501</c:v>
                </c:pt>
                <c:pt idx="361">
                  <c:v>588</c:v>
                </c:pt>
                <c:pt idx="362">
                  <c:v>515</c:v>
                </c:pt>
                <c:pt idx="363">
                  <c:v>387</c:v>
                </c:pt>
                <c:pt idx="364">
                  <c:v>430</c:v>
                </c:pt>
              </c:numCache>
            </c:numRef>
          </c:xVal>
          <c:yVal>
            <c:numRef>
              <c:f>'Cycle_and_pedestrian data'!$E$2:$E$366</c:f>
              <c:numCache>
                <c:formatCode>General</c:formatCode>
                <c:ptCount val="365"/>
                <c:pt idx="0">
                  <c:v>142</c:v>
                </c:pt>
                <c:pt idx="1">
                  <c:v>829</c:v>
                </c:pt>
                <c:pt idx="2">
                  <c:v>801</c:v>
                </c:pt>
                <c:pt idx="3">
                  <c:v>578</c:v>
                </c:pt>
                <c:pt idx="4">
                  <c:v>588</c:v>
                </c:pt>
                <c:pt idx="5">
                  <c:v>371</c:v>
                </c:pt>
                <c:pt idx="6">
                  <c:v>349</c:v>
                </c:pt>
                <c:pt idx="7">
                  <c:v>211</c:v>
                </c:pt>
                <c:pt idx="8">
                  <c:v>879</c:v>
                </c:pt>
                <c:pt idx="9">
                  <c:v>515</c:v>
                </c:pt>
                <c:pt idx="10">
                  <c:v>604</c:v>
                </c:pt>
                <c:pt idx="11">
                  <c:v>707</c:v>
                </c:pt>
                <c:pt idx="12">
                  <c:v>668</c:v>
                </c:pt>
                <c:pt idx="13">
                  <c:v>772</c:v>
                </c:pt>
                <c:pt idx="14">
                  <c:v>785</c:v>
                </c:pt>
                <c:pt idx="15">
                  <c:v>730</c:v>
                </c:pt>
                <c:pt idx="16">
                  <c:v>526</c:v>
                </c:pt>
                <c:pt idx="17">
                  <c:v>681</c:v>
                </c:pt>
                <c:pt idx="18">
                  <c:v>688</c:v>
                </c:pt>
                <c:pt idx="19">
                  <c:v>121</c:v>
                </c:pt>
                <c:pt idx="20">
                  <c:v>728</c:v>
                </c:pt>
                <c:pt idx="21">
                  <c:v>740</c:v>
                </c:pt>
                <c:pt idx="22">
                  <c:v>1058</c:v>
                </c:pt>
                <c:pt idx="23">
                  <c:v>540</c:v>
                </c:pt>
                <c:pt idx="24">
                  <c:v>712</c:v>
                </c:pt>
                <c:pt idx="25">
                  <c:v>716</c:v>
                </c:pt>
                <c:pt idx="26">
                  <c:v>547</c:v>
                </c:pt>
                <c:pt idx="27">
                  <c:v>410</c:v>
                </c:pt>
                <c:pt idx="28">
                  <c:v>774</c:v>
                </c:pt>
                <c:pt idx="29">
                  <c:v>1020</c:v>
                </c:pt>
                <c:pt idx="30">
                  <c:v>496</c:v>
                </c:pt>
                <c:pt idx="31">
                  <c:v>712</c:v>
                </c:pt>
                <c:pt idx="32">
                  <c:v>610</c:v>
                </c:pt>
                <c:pt idx="33">
                  <c:v>284</c:v>
                </c:pt>
                <c:pt idx="34">
                  <c:v>733</c:v>
                </c:pt>
                <c:pt idx="35">
                  <c:v>901</c:v>
                </c:pt>
                <c:pt idx="36">
                  <c:v>967</c:v>
                </c:pt>
                <c:pt idx="37">
                  <c:v>538</c:v>
                </c:pt>
                <c:pt idx="38">
                  <c:v>924</c:v>
                </c:pt>
                <c:pt idx="39">
                  <c:v>873</c:v>
                </c:pt>
                <c:pt idx="40">
                  <c:v>804</c:v>
                </c:pt>
                <c:pt idx="41">
                  <c:v>965</c:v>
                </c:pt>
                <c:pt idx="42">
                  <c:v>837</c:v>
                </c:pt>
                <c:pt idx="43">
                  <c:v>954</c:v>
                </c:pt>
                <c:pt idx="44">
                  <c:v>414</c:v>
                </c:pt>
                <c:pt idx="45">
                  <c:v>713</c:v>
                </c:pt>
                <c:pt idx="46">
                  <c:v>850</c:v>
                </c:pt>
                <c:pt idx="47">
                  <c:v>729</c:v>
                </c:pt>
                <c:pt idx="48">
                  <c:v>921</c:v>
                </c:pt>
                <c:pt idx="49">
                  <c:v>817</c:v>
                </c:pt>
                <c:pt idx="50">
                  <c:v>783</c:v>
                </c:pt>
                <c:pt idx="51">
                  <c:v>581</c:v>
                </c:pt>
                <c:pt idx="52">
                  <c:v>766</c:v>
                </c:pt>
                <c:pt idx="53">
                  <c:v>178</c:v>
                </c:pt>
                <c:pt idx="54">
                  <c:v>181</c:v>
                </c:pt>
                <c:pt idx="55">
                  <c:v>73</c:v>
                </c:pt>
                <c:pt idx="56">
                  <c:v>19</c:v>
                </c:pt>
                <c:pt idx="57">
                  <c:v>26</c:v>
                </c:pt>
                <c:pt idx="58">
                  <c:v>193</c:v>
                </c:pt>
                <c:pt idx="59">
                  <c:v>204</c:v>
                </c:pt>
                <c:pt idx="60">
                  <c:v>304</c:v>
                </c:pt>
                <c:pt idx="61">
                  <c:v>107</c:v>
                </c:pt>
                <c:pt idx="62">
                  <c:v>268</c:v>
                </c:pt>
                <c:pt idx="63">
                  <c:v>400</c:v>
                </c:pt>
                <c:pt idx="64">
                  <c:v>401</c:v>
                </c:pt>
                <c:pt idx="65">
                  <c:v>378</c:v>
                </c:pt>
                <c:pt idx="66">
                  <c:v>494</c:v>
                </c:pt>
                <c:pt idx="67">
                  <c:v>366</c:v>
                </c:pt>
                <c:pt idx="68">
                  <c:v>490</c:v>
                </c:pt>
                <c:pt idx="69">
                  <c:v>522</c:v>
                </c:pt>
                <c:pt idx="70">
                  <c:v>531</c:v>
                </c:pt>
                <c:pt idx="71">
                  <c:v>635</c:v>
                </c:pt>
                <c:pt idx="72">
                  <c:v>445</c:v>
                </c:pt>
                <c:pt idx="73">
                  <c:v>583</c:v>
                </c:pt>
                <c:pt idx="74">
                  <c:v>559</c:v>
                </c:pt>
                <c:pt idx="75">
                  <c:v>496</c:v>
                </c:pt>
                <c:pt idx="76">
                  <c:v>587</c:v>
                </c:pt>
                <c:pt idx="77">
                  <c:v>696</c:v>
                </c:pt>
                <c:pt idx="78">
                  <c:v>801</c:v>
                </c:pt>
                <c:pt idx="79">
                  <c:v>458</c:v>
                </c:pt>
                <c:pt idx="80">
                  <c:v>589</c:v>
                </c:pt>
                <c:pt idx="81">
                  <c:v>599</c:v>
                </c:pt>
                <c:pt idx="82">
                  <c:v>614</c:v>
                </c:pt>
                <c:pt idx="83">
                  <c:v>581</c:v>
                </c:pt>
                <c:pt idx="84">
                  <c:v>554</c:v>
                </c:pt>
                <c:pt idx="85">
                  <c:v>640</c:v>
                </c:pt>
                <c:pt idx="86">
                  <c:v>100</c:v>
                </c:pt>
                <c:pt idx="87">
                  <c:v>122</c:v>
                </c:pt>
                <c:pt idx="88">
                  <c:v>348</c:v>
                </c:pt>
                <c:pt idx="89">
                  <c:v>599</c:v>
                </c:pt>
                <c:pt idx="90">
                  <c:v>630</c:v>
                </c:pt>
                <c:pt idx="91">
                  <c:v>676</c:v>
                </c:pt>
                <c:pt idx="92">
                  <c:v>762</c:v>
                </c:pt>
                <c:pt idx="93">
                  <c:v>424</c:v>
                </c:pt>
                <c:pt idx="94">
                  <c:v>635</c:v>
                </c:pt>
                <c:pt idx="95">
                  <c:v>641</c:v>
                </c:pt>
                <c:pt idx="96">
                  <c:v>394</c:v>
                </c:pt>
                <c:pt idx="97">
                  <c:v>485</c:v>
                </c:pt>
                <c:pt idx="98">
                  <c:v>371</c:v>
                </c:pt>
                <c:pt idx="99">
                  <c:v>590</c:v>
                </c:pt>
                <c:pt idx="100">
                  <c:v>449</c:v>
                </c:pt>
                <c:pt idx="101">
                  <c:v>591</c:v>
                </c:pt>
                <c:pt idx="102">
                  <c:v>517</c:v>
                </c:pt>
                <c:pt idx="103">
                  <c:v>423</c:v>
                </c:pt>
                <c:pt idx="104">
                  <c:v>738</c:v>
                </c:pt>
                <c:pt idx="105">
                  <c:v>594</c:v>
                </c:pt>
                <c:pt idx="106">
                  <c:v>499</c:v>
                </c:pt>
                <c:pt idx="107">
                  <c:v>694</c:v>
                </c:pt>
                <c:pt idx="108">
                  <c:v>512</c:v>
                </c:pt>
                <c:pt idx="109">
                  <c:v>596</c:v>
                </c:pt>
                <c:pt idx="110">
                  <c:v>552</c:v>
                </c:pt>
                <c:pt idx="111">
                  <c:v>649</c:v>
                </c:pt>
                <c:pt idx="112">
                  <c:v>589</c:v>
                </c:pt>
                <c:pt idx="113">
                  <c:v>447</c:v>
                </c:pt>
                <c:pt idx="114">
                  <c:v>114</c:v>
                </c:pt>
                <c:pt idx="115">
                  <c:v>240</c:v>
                </c:pt>
                <c:pt idx="116">
                  <c:v>529</c:v>
                </c:pt>
                <c:pt idx="117">
                  <c:v>465</c:v>
                </c:pt>
                <c:pt idx="118">
                  <c:v>587</c:v>
                </c:pt>
                <c:pt idx="119">
                  <c:v>452</c:v>
                </c:pt>
                <c:pt idx="120">
                  <c:v>573</c:v>
                </c:pt>
                <c:pt idx="121">
                  <c:v>784</c:v>
                </c:pt>
                <c:pt idx="122">
                  <c:v>553</c:v>
                </c:pt>
                <c:pt idx="123">
                  <c:v>671</c:v>
                </c:pt>
                <c:pt idx="124">
                  <c:v>572</c:v>
                </c:pt>
                <c:pt idx="125">
                  <c:v>148</c:v>
                </c:pt>
                <c:pt idx="126">
                  <c:v>540</c:v>
                </c:pt>
                <c:pt idx="127">
                  <c:v>395</c:v>
                </c:pt>
                <c:pt idx="128">
                  <c:v>147</c:v>
                </c:pt>
                <c:pt idx="129">
                  <c:v>251</c:v>
                </c:pt>
                <c:pt idx="130">
                  <c:v>77</c:v>
                </c:pt>
                <c:pt idx="131">
                  <c:v>132</c:v>
                </c:pt>
                <c:pt idx="132">
                  <c:v>93</c:v>
                </c:pt>
                <c:pt idx="133">
                  <c:v>65</c:v>
                </c:pt>
                <c:pt idx="134">
                  <c:v>311</c:v>
                </c:pt>
                <c:pt idx="135">
                  <c:v>436</c:v>
                </c:pt>
                <c:pt idx="136">
                  <c:v>433</c:v>
                </c:pt>
                <c:pt idx="137">
                  <c:v>633</c:v>
                </c:pt>
                <c:pt idx="138">
                  <c:v>503</c:v>
                </c:pt>
                <c:pt idx="139">
                  <c:v>572</c:v>
                </c:pt>
                <c:pt idx="140">
                  <c:v>24</c:v>
                </c:pt>
                <c:pt idx="141">
                  <c:v>89</c:v>
                </c:pt>
                <c:pt idx="142">
                  <c:v>281</c:v>
                </c:pt>
                <c:pt idx="143">
                  <c:v>311</c:v>
                </c:pt>
                <c:pt idx="144">
                  <c:v>575</c:v>
                </c:pt>
                <c:pt idx="145">
                  <c:v>460</c:v>
                </c:pt>
                <c:pt idx="146">
                  <c:v>583</c:v>
                </c:pt>
                <c:pt idx="147">
                  <c:v>746</c:v>
                </c:pt>
                <c:pt idx="148">
                  <c:v>853</c:v>
                </c:pt>
                <c:pt idx="149">
                  <c:v>429</c:v>
                </c:pt>
                <c:pt idx="150">
                  <c:v>319</c:v>
                </c:pt>
                <c:pt idx="151">
                  <c:v>476</c:v>
                </c:pt>
                <c:pt idx="152">
                  <c:v>501</c:v>
                </c:pt>
                <c:pt idx="153">
                  <c:v>598</c:v>
                </c:pt>
                <c:pt idx="154">
                  <c:v>496</c:v>
                </c:pt>
                <c:pt idx="155">
                  <c:v>829</c:v>
                </c:pt>
                <c:pt idx="156">
                  <c:v>307</c:v>
                </c:pt>
                <c:pt idx="157">
                  <c:v>509</c:v>
                </c:pt>
                <c:pt idx="158">
                  <c:v>496</c:v>
                </c:pt>
                <c:pt idx="159">
                  <c:v>393</c:v>
                </c:pt>
                <c:pt idx="160">
                  <c:v>514</c:v>
                </c:pt>
                <c:pt idx="161">
                  <c:v>470</c:v>
                </c:pt>
                <c:pt idx="162">
                  <c:v>498</c:v>
                </c:pt>
                <c:pt idx="163">
                  <c:v>356</c:v>
                </c:pt>
                <c:pt idx="164">
                  <c:v>504</c:v>
                </c:pt>
                <c:pt idx="165">
                  <c:v>589</c:v>
                </c:pt>
                <c:pt idx="166">
                  <c:v>513</c:v>
                </c:pt>
                <c:pt idx="167">
                  <c:v>529</c:v>
                </c:pt>
                <c:pt idx="168">
                  <c:v>587</c:v>
                </c:pt>
                <c:pt idx="169">
                  <c:v>673</c:v>
                </c:pt>
                <c:pt idx="170">
                  <c:v>421</c:v>
                </c:pt>
                <c:pt idx="171">
                  <c:v>522</c:v>
                </c:pt>
                <c:pt idx="172">
                  <c:v>510</c:v>
                </c:pt>
                <c:pt idx="173">
                  <c:v>501</c:v>
                </c:pt>
                <c:pt idx="174">
                  <c:v>577</c:v>
                </c:pt>
                <c:pt idx="175">
                  <c:v>574</c:v>
                </c:pt>
                <c:pt idx="176">
                  <c:v>630</c:v>
                </c:pt>
                <c:pt idx="177">
                  <c:v>304</c:v>
                </c:pt>
                <c:pt idx="178">
                  <c:v>444</c:v>
                </c:pt>
                <c:pt idx="179">
                  <c:v>421</c:v>
                </c:pt>
                <c:pt idx="180">
                  <c:v>398</c:v>
                </c:pt>
                <c:pt idx="181">
                  <c:v>129</c:v>
                </c:pt>
                <c:pt idx="182">
                  <c:v>52</c:v>
                </c:pt>
                <c:pt idx="183">
                  <c:v>538</c:v>
                </c:pt>
                <c:pt idx="184">
                  <c:v>271</c:v>
                </c:pt>
                <c:pt idx="185">
                  <c:v>54</c:v>
                </c:pt>
                <c:pt idx="186">
                  <c:v>192</c:v>
                </c:pt>
                <c:pt idx="187">
                  <c:v>446</c:v>
                </c:pt>
                <c:pt idx="188">
                  <c:v>479</c:v>
                </c:pt>
                <c:pt idx="189">
                  <c:v>570</c:v>
                </c:pt>
                <c:pt idx="190">
                  <c:v>591</c:v>
                </c:pt>
                <c:pt idx="191">
                  <c:v>355</c:v>
                </c:pt>
                <c:pt idx="192">
                  <c:v>398</c:v>
                </c:pt>
                <c:pt idx="193">
                  <c:v>425</c:v>
                </c:pt>
                <c:pt idx="194">
                  <c:v>426</c:v>
                </c:pt>
                <c:pt idx="195">
                  <c:v>501</c:v>
                </c:pt>
                <c:pt idx="196">
                  <c:v>561</c:v>
                </c:pt>
                <c:pt idx="197">
                  <c:v>640</c:v>
                </c:pt>
                <c:pt idx="198">
                  <c:v>393</c:v>
                </c:pt>
                <c:pt idx="199">
                  <c:v>451</c:v>
                </c:pt>
                <c:pt idx="200">
                  <c:v>418</c:v>
                </c:pt>
                <c:pt idx="201">
                  <c:v>174</c:v>
                </c:pt>
                <c:pt idx="202">
                  <c:v>88</c:v>
                </c:pt>
                <c:pt idx="203">
                  <c:v>594</c:v>
                </c:pt>
                <c:pt idx="204">
                  <c:v>846</c:v>
                </c:pt>
                <c:pt idx="205">
                  <c:v>408</c:v>
                </c:pt>
                <c:pt idx="206">
                  <c:v>506</c:v>
                </c:pt>
                <c:pt idx="207">
                  <c:v>540</c:v>
                </c:pt>
                <c:pt idx="208">
                  <c:v>537</c:v>
                </c:pt>
                <c:pt idx="209">
                  <c:v>551</c:v>
                </c:pt>
                <c:pt idx="210">
                  <c:v>591</c:v>
                </c:pt>
                <c:pt idx="211">
                  <c:v>627</c:v>
                </c:pt>
                <c:pt idx="212">
                  <c:v>251</c:v>
                </c:pt>
                <c:pt idx="213">
                  <c:v>500</c:v>
                </c:pt>
                <c:pt idx="214">
                  <c:v>582</c:v>
                </c:pt>
                <c:pt idx="215">
                  <c:v>497</c:v>
                </c:pt>
                <c:pt idx="216">
                  <c:v>626</c:v>
                </c:pt>
                <c:pt idx="217">
                  <c:v>306</c:v>
                </c:pt>
                <c:pt idx="218">
                  <c:v>748</c:v>
                </c:pt>
                <c:pt idx="219">
                  <c:v>385</c:v>
                </c:pt>
                <c:pt idx="220">
                  <c:v>443</c:v>
                </c:pt>
                <c:pt idx="221">
                  <c:v>763</c:v>
                </c:pt>
                <c:pt idx="222">
                  <c:v>455</c:v>
                </c:pt>
                <c:pt idx="223">
                  <c:v>526</c:v>
                </c:pt>
                <c:pt idx="224">
                  <c:v>159</c:v>
                </c:pt>
                <c:pt idx="225">
                  <c:v>684</c:v>
                </c:pt>
                <c:pt idx="226">
                  <c:v>401</c:v>
                </c:pt>
                <c:pt idx="227">
                  <c:v>510</c:v>
                </c:pt>
                <c:pt idx="228">
                  <c:v>559</c:v>
                </c:pt>
                <c:pt idx="229">
                  <c:v>490</c:v>
                </c:pt>
                <c:pt idx="230">
                  <c:v>581</c:v>
                </c:pt>
                <c:pt idx="231">
                  <c:v>575</c:v>
                </c:pt>
                <c:pt idx="232">
                  <c:v>717</c:v>
                </c:pt>
                <c:pt idx="233">
                  <c:v>420</c:v>
                </c:pt>
                <c:pt idx="234">
                  <c:v>565</c:v>
                </c:pt>
                <c:pt idx="235">
                  <c:v>434</c:v>
                </c:pt>
                <c:pt idx="236">
                  <c:v>472</c:v>
                </c:pt>
                <c:pt idx="237">
                  <c:v>571</c:v>
                </c:pt>
                <c:pt idx="238">
                  <c:v>578</c:v>
                </c:pt>
                <c:pt idx="239">
                  <c:v>686</c:v>
                </c:pt>
                <c:pt idx="240">
                  <c:v>326</c:v>
                </c:pt>
                <c:pt idx="241">
                  <c:v>413</c:v>
                </c:pt>
                <c:pt idx="242">
                  <c:v>274</c:v>
                </c:pt>
                <c:pt idx="243">
                  <c:v>495</c:v>
                </c:pt>
                <c:pt idx="244">
                  <c:v>479</c:v>
                </c:pt>
                <c:pt idx="245">
                  <c:v>104</c:v>
                </c:pt>
                <c:pt idx="246">
                  <c:v>639</c:v>
                </c:pt>
                <c:pt idx="247">
                  <c:v>397</c:v>
                </c:pt>
                <c:pt idx="248">
                  <c:v>612</c:v>
                </c:pt>
                <c:pt idx="249">
                  <c:v>521</c:v>
                </c:pt>
                <c:pt idx="250">
                  <c:v>497</c:v>
                </c:pt>
                <c:pt idx="251">
                  <c:v>143</c:v>
                </c:pt>
                <c:pt idx="252">
                  <c:v>610</c:v>
                </c:pt>
                <c:pt idx="253">
                  <c:v>742</c:v>
                </c:pt>
                <c:pt idx="254">
                  <c:v>409</c:v>
                </c:pt>
                <c:pt idx="255">
                  <c:v>588</c:v>
                </c:pt>
                <c:pt idx="256">
                  <c:v>529</c:v>
                </c:pt>
                <c:pt idx="257">
                  <c:v>544</c:v>
                </c:pt>
                <c:pt idx="258">
                  <c:v>192</c:v>
                </c:pt>
                <c:pt idx="259">
                  <c:v>565</c:v>
                </c:pt>
                <c:pt idx="260">
                  <c:v>772</c:v>
                </c:pt>
                <c:pt idx="261">
                  <c:v>371</c:v>
                </c:pt>
                <c:pt idx="262">
                  <c:v>497</c:v>
                </c:pt>
                <c:pt idx="263">
                  <c:v>476</c:v>
                </c:pt>
                <c:pt idx="264">
                  <c:v>118</c:v>
                </c:pt>
                <c:pt idx="265">
                  <c:v>352</c:v>
                </c:pt>
                <c:pt idx="266">
                  <c:v>653</c:v>
                </c:pt>
                <c:pt idx="267">
                  <c:v>777</c:v>
                </c:pt>
                <c:pt idx="268">
                  <c:v>373</c:v>
                </c:pt>
                <c:pt idx="269">
                  <c:v>514</c:v>
                </c:pt>
                <c:pt idx="270">
                  <c:v>369</c:v>
                </c:pt>
                <c:pt idx="271">
                  <c:v>444</c:v>
                </c:pt>
                <c:pt idx="272">
                  <c:v>617</c:v>
                </c:pt>
                <c:pt idx="273">
                  <c:v>696</c:v>
                </c:pt>
                <c:pt idx="274">
                  <c:v>213</c:v>
                </c:pt>
                <c:pt idx="275">
                  <c:v>803</c:v>
                </c:pt>
                <c:pt idx="276">
                  <c:v>528</c:v>
                </c:pt>
                <c:pt idx="277">
                  <c:v>675</c:v>
                </c:pt>
                <c:pt idx="278">
                  <c:v>386</c:v>
                </c:pt>
                <c:pt idx="279">
                  <c:v>675</c:v>
                </c:pt>
                <c:pt idx="280">
                  <c:v>664</c:v>
                </c:pt>
                <c:pt idx="281">
                  <c:v>307</c:v>
                </c:pt>
                <c:pt idx="282">
                  <c:v>468</c:v>
                </c:pt>
                <c:pt idx="283">
                  <c:v>686</c:v>
                </c:pt>
                <c:pt idx="284">
                  <c:v>655</c:v>
                </c:pt>
                <c:pt idx="285">
                  <c:v>608</c:v>
                </c:pt>
                <c:pt idx="286">
                  <c:v>693</c:v>
                </c:pt>
                <c:pt idx="287">
                  <c:v>732</c:v>
                </c:pt>
                <c:pt idx="288">
                  <c:v>886</c:v>
                </c:pt>
                <c:pt idx="289">
                  <c:v>447</c:v>
                </c:pt>
                <c:pt idx="290">
                  <c:v>607</c:v>
                </c:pt>
                <c:pt idx="291">
                  <c:v>408</c:v>
                </c:pt>
                <c:pt idx="292">
                  <c:v>252</c:v>
                </c:pt>
                <c:pt idx="293">
                  <c:v>330</c:v>
                </c:pt>
                <c:pt idx="294">
                  <c:v>120</c:v>
                </c:pt>
                <c:pt idx="295">
                  <c:v>42</c:v>
                </c:pt>
                <c:pt idx="296">
                  <c:v>511</c:v>
                </c:pt>
                <c:pt idx="297">
                  <c:v>242</c:v>
                </c:pt>
                <c:pt idx="298">
                  <c:v>727</c:v>
                </c:pt>
                <c:pt idx="299">
                  <c:v>559</c:v>
                </c:pt>
                <c:pt idx="300">
                  <c:v>668</c:v>
                </c:pt>
                <c:pt idx="301">
                  <c:v>686</c:v>
                </c:pt>
                <c:pt idx="302">
                  <c:v>611</c:v>
                </c:pt>
                <c:pt idx="303">
                  <c:v>470</c:v>
                </c:pt>
                <c:pt idx="304">
                  <c:v>135</c:v>
                </c:pt>
                <c:pt idx="305">
                  <c:v>588</c:v>
                </c:pt>
                <c:pt idx="306">
                  <c:v>651</c:v>
                </c:pt>
                <c:pt idx="307">
                  <c:v>716</c:v>
                </c:pt>
                <c:pt idx="308">
                  <c:v>670</c:v>
                </c:pt>
                <c:pt idx="309">
                  <c:v>760</c:v>
                </c:pt>
                <c:pt idx="310">
                  <c:v>477</c:v>
                </c:pt>
                <c:pt idx="311">
                  <c:v>591</c:v>
                </c:pt>
                <c:pt idx="312">
                  <c:v>708</c:v>
                </c:pt>
                <c:pt idx="313">
                  <c:v>553</c:v>
                </c:pt>
                <c:pt idx="314">
                  <c:v>738</c:v>
                </c:pt>
                <c:pt idx="315">
                  <c:v>620</c:v>
                </c:pt>
                <c:pt idx="316">
                  <c:v>656</c:v>
                </c:pt>
                <c:pt idx="317">
                  <c:v>427</c:v>
                </c:pt>
                <c:pt idx="318">
                  <c:v>580</c:v>
                </c:pt>
                <c:pt idx="319">
                  <c:v>635</c:v>
                </c:pt>
                <c:pt idx="320">
                  <c:v>603</c:v>
                </c:pt>
                <c:pt idx="321">
                  <c:v>697</c:v>
                </c:pt>
                <c:pt idx="322">
                  <c:v>669</c:v>
                </c:pt>
                <c:pt idx="323">
                  <c:v>634</c:v>
                </c:pt>
                <c:pt idx="324">
                  <c:v>434</c:v>
                </c:pt>
                <c:pt idx="325">
                  <c:v>637</c:v>
                </c:pt>
                <c:pt idx="326">
                  <c:v>687</c:v>
                </c:pt>
                <c:pt idx="327">
                  <c:v>605</c:v>
                </c:pt>
                <c:pt idx="328">
                  <c:v>672</c:v>
                </c:pt>
                <c:pt idx="329">
                  <c:v>612</c:v>
                </c:pt>
                <c:pt idx="330">
                  <c:v>613</c:v>
                </c:pt>
                <c:pt idx="331">
                  <c:v>360</c:v>
                </c:pt>
                <c:pt idx="332">
                  <c:v>514</c:v>
                </c:pt>
                <c:pt idx="333">
                  <c:v>404</c:v>
                </c:pt>
                <c:pt idx="334">
                  <c:v>65</c:v>
                </c:pt>
                <c:pt idx="335">
                  <c:v>415</c:v>
                </c:pt>
                <c:pt idx="336">
                  <c:v>607</c:v>
                </c:pt>
                <c:pt idx="337">
                  <c:v>635</c:v>
                </c:pt>
                <c:pt idx="338">
                  <c:v>425</c:v>
                </c:pt>
                <c:pt idx="339">
                  <c:v>556</c:v>
                </c:pt>
                <c:pt idx="340">
                  <c:v>541</c:v>
                </c:pt>
                <c:pt idx="341">
                  <c:v>195</c:v>
                </c:pt>
                <c:pt idx="342">
                  <c:v>582</c:v>
                </c:pt>
                <c:pt idx="343">
                  <c:v>611</c:v>
                </c:pt>
                <c:pt idx="344">
                  <c:v>661</c:v>
                </c:pt>
                <c:pt idx="345">
                  <c:v>429</c:v>
                </c:pt>
                <c:pt idx="346">
                  <c:v>548</c:v>
                </c:pt>
                <c:pt idx="347">
                  <c:v>534</c:v>
                </c:pt>
                <c:pt idx="348">
                  <c:v>513</c:v>
                </c:pt>
                <c:pt idx="349">
                  <c:v>576</c:v>
                </c:pt>
                <c:pt idx="350">
                  <c:v>631</c:v>
                </c:pt>
                <c:pt idx="351">
                  <c:v>585</c:v>
                </c:pt>
                <c:pt idx="352">
                  <c:v>398</c:v>
                </c:pt>
                <c:pt idx="353">
                  <c:v>613</c:v>
                </c:pt>
                <c:pt idx="354">
                  <c:v>597</c:v>
                </c:pt>
                <c:pt idx="355">
                  <c:v>595</c:v>
                </c:pt>
                <c:pt idx="356">
                  <c:v>687</c:v>
                </c:pt>
                <c:pt idx="357">
                  <c:v>617</c:v>
                </c:pt>
                <c:pt idx="358">
                  <c:v>290</c:v>
                </c:pt>
                <c:pt idx="359">
                  <c:v>380</c:v>
                </c:pt>
                <c:pt idx="360">
                  <c:v>410</c:v>
                </c:pt>
                <c:pt idx="361">
                  <c:v>550</c:v>
                </c:pt>
                <c:pt idx="362">
                  <c:v>486</c:v>
                </c:pt>
                <c:pt idx="363">
                  <c:v>430</c:v>
                </c:pt>
                <c:pt idx="364">
                  <c:v>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8-4285-9918-9EC7FE1D9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479024"/>
        <c:axId val="1525472304"/>
      </c:scatterChart>
      <c:valAx>
        <c:axId val="152547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Pedestrians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72304"/>
        <c:crosses val="autoZero"/>
        <c:crossBetween val="midCat"/>
      </c:valAx>
      <c:valAx>
        <c:axId val="15254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Cyclist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47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3000"/>
            </a:pPr>
            <a:r>
              <a:rPr lang="en-US" sz="3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1.1B</a:t>
            </a:r>
          </a:p>
          <a:p>
            <a:pPr algn="ctr" rtl="0">
              <a:defRPr sz="3000"/>
            </a:pPr>
            <a:r>
              <a:rPr lang="en-US" sz="3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Box Plot</a:t>
            </a:r>
          </a:p>
        </cx:rich>
      </cx:tx>
    </cx:title>
    <cx:plotArea>
      <cx:plotAreaRegion>
        <cx:series layoutId="boxWhisker" uniqueId="{F56BF9E9-C7E1-4439-8E77-8FF10FE87849}">
          <cx:tx>
            <cx:txData>
              <cx:f>_xlchart.v1.0</cx:f>
              <cx:v>EC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6D7606E7-CDFC-4902-B699-5B7A88863BE8}">
          <cx:tx>
            <cx:txData>
              <cx:f>_xlchart.v1.2</cx:f>
              <cx:v>EP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CCA8630B-946D-42F7-BF0F-C1AF40E4C50B}">
          <cx:tx>
            <cx:txData>
              <cx:f>_xlchart.v1.4</cx:f>
              <cx:v>JP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9BC8E4D1-044E-439B-A8DF-E3B2A201D104}">
          <cx:tx>
            <cx:txData>
              <cx:f>_xlchart.v1.6</cx:f>
              <cx:v>JC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endParaRPr lang="en-US" sz="20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-1</xdr:colOff>
      <xdr:row>61</xdr:row>
      <xdr:rowOff>15875</xdr:rowOff>
    </xdr:from>
    <xdr:to>
      <xdr:col>28</xdr:col>
      <xdr:colOff>476250</xdr:colOff>
      <xdr:row>110</xdr:row>
      <xdr:rowOff>111124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4334D1-9AD9-228C-E312-809BCEDAF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570494</xdr:colOff>
      <xdr:row>111</xdr:row>
      <xdr:rowOff>121920</xdr:rowOff>
    </xdr:from>
    <xdr:to>
      <xdr:col>28</xdr:col>
      <xdr:colOff>457200</xdr:colOff>
      <xdr:row>160</xdr:row>
      <xdr:rowOff>167977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6B998F-53AC-3AB9-50E1-9F25F15F1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</xdr:colOff>
      <xdr:row>9</xdr:row>
      <xdr:rowOff>0</xdr:rowOff>
    </xdr:from>
    <xdr:to>
      <xdr:col>28</xdr:col>
      <xdr:colOff>438727</xdr:colOff>
      <xdr:row>59</xdr:row>
      <xdr:rowOff>96212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43B6649-8A6E-E59F-7D0A-8045CE2BAC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1" y="1645920"/>
              <a:ext cx="13849926" cy="92402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549518</xdr:colOff>
      <xdr:row>162</xdr:row>
      <xdr:rowOff>20515</xdr:rowOff>
    </xdr:from>
    <xdr:to>
      <xdr:col>28</xdr:col>
      <xdr:colOff>439615</xdr:colOff>
      <xdr:row>211</xdr:row>
      <xdr:rowOff>87923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785D777-68E2-08AC-4D86-C7D974FD2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507999</xdr:colOff>
      <xdr:row>211</xdr:row>
      <xdr:rowOff>84666</xdr:rowOff>
    </xdr:from>
    <xdr:to>
      <xdr:col>28</xdr:col>
      <xdr:colOff>423332</xdr:colOff>
      <xdr:row>260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49138B-FC00-4B1A-CB55-D5D46B136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8389-8096-48C8-9387-0862E5202D0B}">
  <dimension ref="A1:S388"/>
  <sheetViews>
    <sheetView tabSelected="1" topLeftCell="C213" zoomScale="58" zoomScaleNormal="130" workbookViewId="0">
      <selection activeCell="AE225" sqref="AE22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396</v>
      </c>
      <c r="K1" t="s">
        <v>371</v>
      </c>
      <c r="L1" t="s">
        <v>370</v>
      </c>
      <c r="M1" t="s">
        <v>372</v>
      </c>
      <c r="N1" t="s">
        <v>373</v>
      </c>
    </row>
    <row r="2" spans="1:14" x14ac:dyDescent="0.3">
      <c r="A2" t="s">
        <v>5</v>
      </c>
      <c r="B2">
        <v>270.39999999999998</v>
      </c>
      <c r="C2">
        <v>806</v>
      </c>
      <c r="D2">
        <v>310</v>
      </c>
      <c r="E2">
        <v>142</v>
      </c>
      <c r="J2" t="s">
        <v>387</v>
      </c>
      <c r="K2">
        <f>MIN(B2:B366)</f>
        <v>20</v>
      </c>
      <c r="L2">
        <f t="shared" ref="L2:N2" si="0">MIN(C2:C366)</f>
        <v>139</v>
      </c>
      <c r="M2">
        <f t="shared" si="0"/>
        <v>36</v>
      </c>
      <c r="N2">
        <f t="shared" si="0"/>
        <v>19</v>
      </c>
    </row>
    <row r="3" spans="1:14" x14ac:dyDescent="0.3">
      <c r="A3" t="s">
        <v>6</v>
      </c>
      <c r="B3">
        <v>880.1</v>
      </c>
      <c r="C3">
        <v>782</v>
      </c>
      <c r="D3">
        <v>724</v>
      </c>
      <c r="E3">
        <v>829</v>
      </c>
      <c r="J3" t="s">
        <v>397</v>
      </c>
      <c r="K3">
        <f>_xlfn.QUARTILE.EXC(B2:B366, 1)</f>
        <v>341</v>
      </c>
      <c r="L3">
        <f>_xlfn.QUARTILE.EXC(C2:C366, 1)</f>
        <v>1025</v>
      </c>
      <c r="M3">
        <f t="shared" ref="M3:N3" si="1">_xlfn.QUARTILE.EXC(D2:D366, 1)</f>
        <v>477.5</v>
      </c>
      <c r="N3">
        <f t="shared" si="1"/>
        <v>409.5</v>
      </c>
    </row>
    <row r="4" spans="1:14" x14ac:dyDescent="0.3">
      <c r="A4" t="s">
        <v>7</v>
      </c>
      <c r="B4">
        <v>888.55</v>
      </c>
      <c r="C4">
        <v>692</v>
      </c>
      <c r="D4">
        <v>600</v>
      </c>
      <c r="E4">
        <v>801</v>
      </c>
      <c r="J4" t="s">
        <v>395</v>
      </c>
      <c r="K4">
        <f>MEDIAN(B2:B366)</f>
        <v>732</v>
      </c>
      <c r="L4">
        <f>MEDIAN(C2:C366)</f>
        <v>1487</v>
      </c>
      <c r="M4">
        <f t="shared" ref="M4:N4" si="2">MEDIAN(D2:D366)</f>
        <v>592</v>
      </c>
      <c r="N4">
        <f t="shared" si="2"/>
        <v>537</v>
      </c>
    </row>
    <row r="5" spans="1:14" x14ac:dyDescent="0.3">
      <c r="A5" t="s">
        <v>8</v>
      </c>
      <c r="B5">
        <v>1041.3</v>
      </c>
      <c r="C5">
        <v>681</v>
      </c>
      <c r="D5">
        <v>399</v>
      </c>
      <c r="E5">
        <v>578</v>
      </c>
      <c r="J5" t="s">
        <v>398</v>
      </c>
      <c r="K5">
        <f>_xlfn.QUARTILE.EXC(B2:B366, 3)</f>
        <v>1197.625</v>
      </c>
      <c r="L5">
        <f>_xlfn.QUARTILE.EXC(C2:C366, 3)</f>
        <v>1840</v>
      </c>
      <c r="M5">
        <f t="shared" ref="M5:N5" si="3">_xlfn.QUARTILE.EXC(D2:D366, 3)</f>
        <v>695</v>
      </c>
      <c r="N5">
        <f t="shared" si="3"/>
        <v>635</v>
      </c>
    </row>
    <row r="6" spans="1:14" x14ac:dyDescent="0.3">
      <c r="A6" t="s">
        <v>9</v>
      </c>
      <c r="B6">
        <v>1011.4</v>
      </c>
      <c r="C6">
        <v>766</v>
      </c>
      <c r="D6">
        <v>462</v>
      </c>
      <c r="E6">
        <v>588</v>
      </c>
      <c r="J6" t="s">
        <v>388</v>
      </c>
      <c r="K6">
        <f>MAX(B2:B366)</f>
        <v>2181.4</v>
      </c>
      <c r="L6">
        <f>MAX(C2:C366)</f>
        <v>2737</v>
      </c>
      <c r="M6">
        <f t="shared" ref="M6:N6" si="4">MAX(D2:D366)</f>
        <v>1198</v>
      </c>
      <c r="N6">
        <f t="shared" si="4"/>
        <v>1058</v>
      </c>
    </row>
    <row r="7" spans="1:14" x14ac:dyDescent="0.3">
      <c r="A7" t="s">
        <v>10</v>
      </c>
      <c r="B7">
        <v>698.75</v>
      </c>
      <c r="C7">
        <v>693</v>
      </c>
      <c r="D7">
        <v>310</v>
      </c>
      <c r="E7">
        <v>371</v>
      </c>
      <c r="J7" t="s">
        <v>394</v>
      </c>
      <c r="K7">
        <f>AVERAGE(B2:B366)</f>
        <v>802.41534246575338</v>
      </c>
      <c r="L7">
        <f>AVERAGE(C2:C366)</f>
        <v>1461.2229589041096</v>
      </c>
      <c r="M7">
        <f t="shared" ref="M7:N7" si="5">AVERAGE(D2:D366)</f>
        <v>565.90684931506848</v>
      </c>
      <c r="N7">
        <f t="shared" si="5"/>
        <v>513.66849315068498</v>
      </c>
    </row>
    <row r="8" spans="1:14" x14ac:dyDescent="0.3">
      <c r="A8" t="s">
        <v>11</v>
      </c>
      <c r="B8">
        <v>642.85</v>
      </c>
      <c r="C8">
        <v>600</v>
      </c>
      <c r="D8">
        <v>252</v>
      </c>
      <c r="E8">
        <v>349</v>
      </c>
    </row>
    <row r="9" spans="1:14" x14ac:dyDescent="0.3">
      <c r="A9" t="s">
        <v>12</v>
      </c>
      <c r="B9">
        <v>369.2</v>
      </c>
      <c r="C9">
        <v>562</v>
      </c>
      <c r="D9">
        <v>268</v>
      </c>
      <c r="E9">
        <v>211</v>
      </c>
    </row>
    <row r="10" spans="1:14" x14ac:dyDescent="0.3">
      <c r="A10" t="s">
        <v>13</v>
      </c>
      <c r="B10">
        <v>1043.9000000000001</v>
      </c>
      <c r="C10">
        <v>837</v>
      </c>
      <c r="D10">
        <v>640</v>
      </c>
      <c r="E10">
        <v>879</v>
      </c>
    </row>
    <row r="11" spans="1:14" x14ac:dyDescent="0.3">
      <c r="A11" t="s">
        <v>14</v>
      </c>
      <c r="B11">
        <v>1019.2</v>
      </c>
      <c r="C11">
        <v>823</v>
      </c>
      <c r="D11">
        <v>480</v>
      </c>
      <c r="E11">
        <v>515</v>
      </c>
    </row>
    <row r="12" spans="1:14" x14ac:dyDescent="0.3">
      <c r="A12" t="s">
        <v>15</v>
      </c>
      <c r="B12">
        <v>1060.1500000000001</v>
      </c>
      <c r="C12">
        <v>945</v>
      </c>
      <c r="D12">
        <v>496</v>
      </c>
      <c r="E12">
        <v>604</v>
      </c>
    </row>
    <row r="13" spans="1:14" x14ac:dyDescent="0.3">
      <c r="A13" t="s">
        <v>16</v>
      </c>
      <c r="B13">
        <v>1150.5</v>
      </c>
      <c r="C13">
        <v>869</v>
      </c>
      <c r="D13">
        <v>558</v>
      </c>
      <c r="E13">
        <v>707</v>
      </c>
    </row>
    <row r="14" spans="1:14" x14ac:dyDescent="0.3">
      <c r="A14" t="s">
        <v>17</v>
      </c>
      <c r="B14">
        <v>1119.3</v>
      </c>
      <c r="C14">
        <v>852</v>
      </c>
      <c r="D14">
        <v>582</v>
      </c>
      <c r="E14">
        <v>668</v>
      </c>
    </row>
    <row r="15" spans="1:14" x14ac:dyDescent="0.3">
      <c r="A15" t="s">
        <v>18</v>
      </c>
      <c r="B15">
        <v>1076.4000000000001</v>
      </c>
      <c r="C15">
        <v>868</v>
      </c>
      <c r="D15">
        <v>641</v>
      </c>
      <c r="E15">
        <v>772</v>
      </c>
    </row>
    <row r="16" spans="1:14" x14ac:dyDescent="0.3">
      <c r="A16" t="s">
        <v>19</v>
      </c>
      <c r="B16">
        <v>1053</v>
      </c>
      <c r="C16">
        <v>657</v>
      </c>
      <c r="D16">
        <v>552</v>
      </c>
      <c r="E16">
        <v>785</v>
      </c>
    </row>
    <row r="17" spans="1:5" x14ac:dyDescent="0.3">
      <c r="A17" t="s">
        <v>20</v>
      </c>
      <c r="B17">
        <v>943.8</v>
      </c>
      <c r="C17">
        <v>725</v>
      </c>
      <c r="D17">
        <v>483</v>
      </c>
      <c r="E17">
        <v>730</v>
      </c>
    </row>
    <row r="18" spans="1:5" x14ac:dyDescent="0.3">
      <c r="A18" t="s">
        <v>21</v>
      </c>
      <c r="B18">
        <v>1086.8</v>
      </c>
      <c r="C18">
        <v>892</v>
      </c>
      <c r="D18">
        <v>348</v>
      </c>
      <c r="E18">
        <v>526</v>
      </c>
    </row>
    <row r="19" spans="1:5" x14ac:dyDescent="0.3">
      <c r="A19" t="s">
        <v>22</v>
      </c>
      <c r="B19">
        <v>1318.2</v>
      </c>
      <c r="C19">
        <v>899</v>
      </c>
      <c r="D19">
        <v>486</v>
      </c>
      <c r="E19">
        <v>681</v>
      </c>
    </row>
    <row r="20" spans="1:5" x14ac:dyDescent="0.3">
      <c r="A20" t="s">
        <v>23</v>
      </c>
      <c r="B20">
        <v>1151.8</v>
      </c>
      <c r="C20">
        <v>815</v>
      </c>
      <c r="D20">
        <v>388</v>
      </c>
      <c r="E20">
        <v>688</v>
      </c>
    </row>
    <row r="21" spans="1:5" x14ac:dyDescent="0.3">
      <c r="A21" t="s">
        <v>24</v>
      </c>
      <c r="B21">
        <v>449.15</v>
      </c>
      <c r="C21">
        <v>790</v>
      </c>
      <c r="D21">
        <v>200</v>
      </c>
      <c r="E21">
        <v>121</v>
      </c>
    </row>
    <row r="22" spans="1:5" x14ac:dyDescent="0.3">
      <c r="A22" t="s">
        <v>25</v>
      </c>
      <c r="B22">
        <v>1075.0999999999999</v>
      </c>
      <c r="C22">
        <v>913</v>
      </c>
      <c r="D22">
        <v>697</v>
      </c>
      <c r="E22">
        <v>728</v>
      </c>
    </row>
    <row r="23" spans="1:5" x14ac:dyDescent="0.3">
      <c r="A23" t="s">
        <v>26</v>
      </c>
      <c r="B23">
        <v>881.4</v>
      </c>
      <c r="C23">
        <v>763</v>
      </c>
      <c r="D23">
        <v>691</v>
      </c>
      <c r="E23">
        <v>740</v>
      </c>
    </row>
    <row r="24" spans="1:5" x14ac:dyDescent="0.3">
      <c r="A24" t="s">
        <v>27</v>
      </c>
      <c r="B24">
        <v>1250.5999999999999</v>
      </c>
      <c r="C24">
        <v>944</v>
      </c>
      <c r="D24">
        <v>854</v>
      </c>
      <c r="E24">
        <v>1058</v>
      </c>
    </row>
    <row r="25" spans="1:5" x14ac:dyDescent="0.3">
      <c r="A25" t="s">
        <v>28</v>
      </c>
      <c r="B25">
        <v>1272.7</v>
      </c>
      <c r="C25">
        <v>1117</v>
      </c>
      <c r="D25">
        <v>610</v>
      </c>
      <c r="E25">
        <v>540</v>
      </c>
    </row>
    <row r="26" spans="1:5" x14ac:dyDescent="0.3">
      <c r="A26" t="s">
        <v>29</v>
      </c>
      <c r="B26">
        <v>1398.8</v>
      </c>
      <c r="C26">
        <v>1075</v>
      </c>
      <c r="D26">
        <v>572</v>
      </c>
      <c r="E26">
        <v>712</v>
      </c>
    </row>
    <row r="27" spans="1:5" x14ac:dyDescent="0.3">
      <c r="A27" t="s">
        <v>30</v>
      </c>
      <c r="B27">
        <v>738.4</v>
      </c>
      <c r="C27">
        <v>714</v>
      </c>
      <c r="D27">
        <v>485</v>
      </c>
      <c r="E27">
        <v>716</v>
      </c>
    </row>
    <row r="28" spans="1:5" x14ac:dyDescent="0.3">
      <c r="A28" t="s">
        <v>31</v>
      </c>
      <c r="B28">
        <v>1159.5999999999999</v>
      </c>
      <c r="C28">
        <v>1001</v>
      </c>
      <c r="D28">
        <v>573</v>
      </c>
      <c r="E28">
        <v>547</v>
      </c>
    </row>
    <row r="29" spans="1:5" x14ac:dyDescent="0.3">
      <c r="A29" t="s">
        <v>32</v>
      </c>
      <c r="B29">
        <v>793.65</v>
      </c>
      <c r="C29">
        <v>892</v>
      </c>
      <c r="D29">
        <v>407</v>
      </c>
      <c r="E29">
        <v>410</v>
      </c>
    </row>
    <row r="30" spans="1:5" x14ac:dyDescent="0.3">
      <c r="A30" t="s">
        <v>33</v>
      </c>
      <c r="B30">
        <v>956.8</v>
      </c>
      <c r="C30">
        <v>872</v>
      </c>
      <c r="D30">
        <v>482</v>
      </c>
      <c r="E30">
        <v>774</v>
      </c>
    </row>
    <row r="31" spans="1:5" x14ac:dyDescent="0.3">
      <c r="A31" t="s">
        <v>34</v>
      </c>
      <c r="B31">
        <v>1162.2</v>
      </c>
      <c r="C31">
        <v>858</v>
      </c>
      <c r="D31">
        <v>689</v>
      </c>
      <c r="E31">
        <v>1020</v>
      </c>
    </row>
    <row r="32" spans="1:5" x14ac:dyDescent="0.3">
      <c r="A32" t="s">
        <v>35</v>
      </c>
      <c r="B32">
        <v>1327.95</v>
      </c>
      <c r="C32">
        <v>935</v>
      </c>
      <c r="D32">
        <v>538</v>
      </c>
      <c r="E32">
        <v>496</v>
      </c>
    </row>
    <row r="33" spans="1:5" x14ac:dyDescent="0.3">
      <c r="A33" t="s">
        <v>36</v>
      </c>
      <c r="B33">
        <v>1361.1</v>
      </c>
      <c r="C33">
        <v>736</v>
      </c>
      <c r="D33">
        <v>429</v>
      </c>
      <c r="E33">
        <v>712</v>
      </c>
    </row>
    <row r="34" spans="1:5" x14ac:dyDescent="0.3">
      <c r="A34" t="s">
        <v>37</v>
      </c>
      <c r="B34">
        <v>1146.5999999999999</v>
      </c>
      <c r="C34">
        <v>856</v>
      </c>
      <c r="D34">
        <v>372</v>
      </c>
      <c r="E34">
        <v>610</v>
      </c>
    </row>
    <row r="35" spans="1:5" x14ac:dyDescent="0.3">
      <c r="A35" t="s">
        <v>38</v>
      </c>
      <c r="B35">
        <v>796.25</v>
      </c>
      <c r="C35">
        <v>735</v>
      </c>
      <c r="D35">
        <v>202</v>
      </c>
      <c r="E35">
        <v>284</v>
      </c>
    </row>
    <row r="36" spans="1:5" x14ac:dyDescent="0.3">
      <c r="A36" t="s">
        <v>39</v>
      </c>
      <c r="B36">
        <v>1184.3</v>
      </c>
      <c r="C36">
        <v>1034</v>
      </c>
      <c r="D36">
        <v>747</v>
      </c>
      <c r="E36">
        <v>733</v>
      </c>
    </row>
    <row r="37" spans="1:5" x14ac:dyDescent="0.3">
      <c r="A37" t="s">
        <v>40</v>
      </c>
      <c r="B37">
        <v>1083.55</v>
      </c>
      <c r="C37">
        <v>922</v>
      </c>
      <c r="D37">
        <v>779</v>
      </c>
      <c r="E37">
        <v>901</v>
      </c>
    </row>
    <row r="38" spans="1:5" x14ac:dyDescent="0.3">
      <c r="A38" t="s">
        <v>41</v>
      </c>
      <c r="B38">
        <v>1062.75</v>
      </c>
      <c r="C38">
        <v>864</v>
      </c>
      <c r="D38">
        <v>792</v>
      </c>
      <c r="E38">
        <v>967</v>
      </c>
    </row>
    <row r="39" spans="1:5" x14ac:dyDescent="0.3">
      <c r="A39" t="s">
        <v>42</v>
      </c>
      <c r="B39">
        <v>1301.95</v>
      </c>
      <c r="C39">
        <v>1140</v>
      </c>
      <c r="D39">
        <v>576</v>
      </c>
      <c r="E39">
        <v>538</v>
      </c>
    </row>
    <row r="40" spans="1:5" x14ac:dyDescent="0.3">
      <c r="A40" t="s">
        <v>43</v>
      </c>
      <c r="B40">
        <v>1641.9</v>
      </c>
      <c r="C40">
        <v>1259</v>
      </c>
      <c r="D40">
        <v>871</v>
      </c>
      <c r="E40">
        <v>924</v>
      </c>
    </row>
    <row r="41" spans="1:5" x14ac:dyDescent="0.3">
      <c r="A41" t="s">
        <v>44</v>
      </c>
      <c r="B41">
        <v>1548.95</v>
      </c>
      <c r="C41">
        <v>1137</v>
      </c>
      <c r="D41">
        <v>801</v>
      </c>
      <c r="E41">
        <v>873</v>
      </c>
    </row>
    <row r="42" spans="1:5" x14ac:dyDescent="0.3">
      <c r="A42" t="s">
        <v>45</v>
      </c>
      <c r="B42">
        <v>1519.7</v>
      </c>
      <c r="C42">
        <v>1484</v>
      </c>
      <c r="D42">
        <v>771</v>
      </c>
      <c r="E42">
        <v>804</v>
      </c>
    </row>
    <row r="43" spans="1:5" x14ac:dyDescent="0.3">
      <c r="A43" t="s">
        <v>46</v>
      </c>
      <c r="B43">
        <v>1464.45</v>
      </c>
      <c r="C43">
        <v>829</v>
      </c>
      <c r="D43">
        <v>856</v>
      </c>
      <c r="E43">
        <v>965</v>
      </c>
    </row>
    <row r="44" spans="1:5" x14ac:dyDescent="0.3">
      <c r="A44" t="s">
        <v>47</v>
      </c>
      <c r="B44">
        <v>901.55</v>
      </c>
      <c r="C44">
        <v>819</v>
      </c>
      <c r="D44">
        <v>583</v>
      </c>
      <c r="E44">
        <v>837</v>
      </c>
    </row>
    <row r="45" spans="1:5" x14ac:dyDescent="0.3">
      <c r="A45" t="s">
        <v>48</v>
      </c>
      <c r="B45">
        <v>1196.6500000000001</v>
      </c>
      <c r="C45">
        <v>984</v>
      </c>
      <c r="D45">
        <v>664</v>
      </c>
      <c r="E45">
        <v>954</v>
      </c>
    </row>
    <row r="46" spans="1:5" x14ac:dyDescent="0.3">
      <c r="A46" t="s">
        <v>49</v>
      </c>
      <c r="B46">
        <v>1210.3</v>
      </c>
      <c r="C46">
        <v>1356</v>
      </c>
      <c r="D46">
        <v>547</v>
      </c>
      <c r="E46">
        <v>414</v>
      </c>
    </row>
    <row r="47" spans="1:5" x14ac:dyDescent="0.3">
      <c r="A47" t="s">
        <v>50</v>
      </c>
      <c r="B47">
        <v>1546.35</v>
      </c>
      <c r="C47">
        <v>1500</v>
      </c>
      <c r="D47">
        <v>716</v>
      </c>
      <c r="E47">
        <v>713</v>
      </c>
    </row>
    <row r="48" spans="1:5" x14ac:dyDescent="0.3">
      <c r="A48" t="s">
        <v>51</v>
      </c>
      <c r="B48">
        <v>1675.05</v>
      </c>
      <c r="C48">
        <v>1560</v>
      </c>
      <c r="D48">
        <v>711</v>
      </c>
      <c r="E48">
        <v>850</v>
      </c>
    </row>
    <row r="49" spans="1:5" x14ac:dyDescent="0.3">
      <c r="A49" t="s">
        <v>52</v>
      </c>
      <c r="B49">
        <v>1631.5</v>
      </c>
      <c r="C49">
        <v>1554</v>
      </c>
      <c r="D49">
        <v>765</v>
      </c>
      <c r="E49">
        <v>729</v>
      </c>
    </row>
    <row r="50" spans="1:5" x14ac:dyDescent="0.3">
      <c r="A50" t="s">
        <v>53</v>
      </c>
      <c r="B50">
        <v>1444.95</v>
      </c>
      <c r="C50">
        <v>1129</v>
      </c>
      <c r="D50">
        <v>656</v>
      </c>
      <c r="E50">
        <v>921</v>
      </c>
    </row>
    <row r="51" spans="1:5" x14ac:dyDescent="0.3">
      <c r="A51" t="s">
        <v>54</v>
      </c>
      <c r="B51">
        <v>939.25</v>
      </c>
      <c r="C51">
        <v>934</v>
      </c>
      <c r="D51">
        <v>530</v>
      </c>
      <c r="E51">
        <v>817</v>
      </c>
    </row>
    <row r="52" spans="1:5" x14ac:dyDescent="0.3">
      <c r="A52" t="s">
        <v>55</v>
      </c>
      <c r="B52">
        <v>995.8</v>
      </c>
      <c r="C52">
        <v>1004</v>
      </c>
      <c r="D52">
        <v>651</v>
      </c>
      <c r="E52">
        <v>783</v>
      </c>
    </row>
    <row r="53" spans="1:5" x14ac:dyDescent="0.3">
      <c r="A53" t="s">
        <v>56</v>
      </c>
      <c r="B53">
        <v>1774.5</v>
      </c>
      <c r="C53">
        <v>1903</v>
      </c>
      <c r="D53">
        <v>589</v>
      </c>
      <c r="E53">
        <v>581</v>
      </c>
    </row>
    <row r="54" spans="1:5" x14ac:dyDescent="0.3">
      <c r="A54" t="s">
        <v>57</v>
      </c>
      <c r="B54">
        <v>1667.9</v>
      </c>
      <c r="C54">
        <v>1824</v>
      </c>
      <c r="D54">
        <v>640</v>
      </c>
      <c r="E54">
        <v>766</v>
      </c>
    </row>
    <row r="55" spans="1:5" x14ac:dyDescent="0.3">
      <c r="A55" t="s">
        <v>58</v>
      </c>
      <c r="B55">
        <v>676.65</v>
      </c>
      <c r="C55">
        <v>1560</v>
      </c>
      <c r="D55">
        <v>278</v>
      </c>
      <c r="E55">
        <v>178</v>
      </c>
    </row>
    <row r="56" spans="1:5" x14ac:dyDescent="0.3">
      <c r="A56" t="s">
        <v>59</v>
      </c>
      <c r="B56">
        <v>817.7</v>
      </c>
      <c r="C56">
        <v>1671</v>
      </c>
      <c r="D56">
        <v>223</v>
      </c>
      <c r="E56">
        <v>181</v>
      </c>
    </row>
    <row r="57" spans="1:5" x14ac:dyDescent="0.3">
      <c r="A57" t="s">
        <v>60</v>
      </c>
      <c r="B57">
        <v>276.89999999999998</v>
      </c>
      <c r="C57">
        <v>177</v>
      </c>
      <c r="D57">
        <v>44</v>
      </c>
      <c r="E57">
        <v>73</v>
      </c>
    </row>
    <row r="58" spans="1:5" x14ac:dyDescent="0.3">
      <c r="A58" t="s">
        <v>61</v>
      </c>
      <c r="B58">
        <v>70.2</v>
      </c>
      <c r="C58">
        <v>243</v>
      </c>
      <c r="D58">
        <v>36</v>
      </c>
      <c r="E58">
        <v>19</v>
      </c>
    </row>
    <row r="59" spans="1:5" x14ac:dyDescent="0.3">
      <c r="A59" t="s">
        <v>62</v>
      </c>
      <c r="B59">
        <v>40.299999999999997</v>
      </c>
      <c r="C59">
        <v>139</v>
      </c>
      <c r="D59">
        <v>42</v>
      </c>
      <c r="E59">
        <v>26</v>
      </c>
    </row>
    <row r="60" spans="1:5" x14ac:dyDescent="0.3">
      <c r="A60" t="s">
        <v>63</v>
      </c>
      <c r="B60">
        <v>487.5</v>
      </c>
      <c r="C60">
        <v>1608</v>
      </c>
      <c r="D60">
        <v>582</v>
      </c>
      <c r="E60">
        <v>193</v>
      </c>
    </row>
    <row r="61" spans="1:5" x14ac:dyDescent="0.3">
      <c r="A61" t="s">
        <v>64</v>
      </c>
      <c r="B61">
        <v>443.3</v>
      </c>
      <c r="C61">
        <v>1029</v>
      </c>
      <c r="D61">
        <v>478</v>
      </c>
      <c r="E61">
        <v>204</v>
      </c>
    </row>
    <row r="62" spans="1:5" x14ac:dyDescent="0.3">
      <c r="A62" t="s">
        <v>65</v>
      </c>
      <c r="B62">
        <v>536.25</v>
      </c>
      <c r="C62">
        <v>813</v>
      </c>
      <c r="D62">
        <v>353</v>
      </c>
      <c r="E62">
        <v>304</v>
      </c>
    </row>
    <row r="63" spans="1:5" x14ac:dyDescent="0.3">
      <c r="A63" t="s">
        <v>66</v>
      </c>
      <c r="B63">
        <v>280.8</v>
      </c>
      <c r="C63">
        <v>593</v>
      </c>
      <c r="D63">
        <v>223</v>
      </c>
      <c r="E63">
        <v>107</v>
      </c>
    </row>
    <row r="64" spans="1:5" x14ac:dyDescent="0.3">
      <c r="A64" t="s">
        <v>67</v>
      </c>
      <c r="B64">
        <v>479.7</v>
      </c>
      <c r="C64">
        <v>665</v>
      </c>
      <c r="D64">
        <v>329</v>
      </c>
      <c r="E64">
        <v>268</v>
      </c>
    </row>
    <row r="65" spans="1:5" x14ac:dyDescent="0.3">
      <c r="A65" t="s">
        <v>68</v>
      </c>
      <c r="B65">
        <v>574.6</v>
      </c>
      <c r="C65">
        <v>696</v>
      </c>
      <c r="D65">
        <v>394</v>
      </c>
      <c r="E65">
        <v>400</v>
      </c>
    </row>
    <row r="66" spans="1:5" x14ac:dyDescent="0.3">
      <c r="A66" t="s">
        <v>69</v>
      </c>
      <c r="B66">
        <v>641.54999999999995</v>
      </c>
      <c r="C66">
        <v>649</v>
      </c>
      <c r="D66">
        <v>367</v>
      </c>
      <c r="E66">
        <v>401</v>
      </c>
    </row>
    <row r="67" spans="1:5" x14ac:dyDescent="0.3">
      <c r="A67" t="s">
        <v>70</v>
      </c>
      <c r="B67">
        <v>1560.65</v>
      </c>
      <c r="C67">
        <v>742.88</v>
      </c>
      <c r="D67">
        <v>447</v>
      </c>
      <c r="E67">
        <v>378</v>
      </c>
    </row>
    <row r="68" spans="1:5" x14ac:dyDescent="0.3">
      <c r="A68" t="s">
        <v>71</v>
      </c>
      <c r="B68">
        <v>1909.05</v>
      </c>
      <c r="C68">
        <v>1804</v>
      </c>
      <c r="D68">
        <v>380</v>
      </c>
      <c r="E68">
        <v>494</v>
      </c>
    </row>
    <row r="69" spans="1:5" x14ac:dyDescent="0.3">
      <c r="A69" t="s">
        <v>72</v>
      </c>
      <c r="B69">
        <v>1463.15</v>
      </c>
      <c r="C69">
        <v>1801</v>
      </c>
      <c r="D69">
        <v>336</v>
      </c>
      <c r="E69">
        <v>366</v>
      </c>
    </row>
    <row r="70" spans="1:5" x14ac:dyDescent="0.3">
      <c r="A70" t="s">
        <v>73</v>
      </c>
      <c r="B70">
        <v>1849.25</v>
      </c>
      <c r="C70">
        <v>2246</v>
      </c>
      <c r="D70">
        <v>580</v>
      </c>
      <c r="E70">
        <v>490</v>
      </c>
    </row>
    <row r="71" spans="1:5" x14ac:dyDescent="0.3">
      <c r="A71" t="s">
        <v>74</v>
      </c>
      <c r="B71">
        <v>1529.45</v>
      </c>
      <c r="C71">
        <v>1748</v>
      </c>
      <c r="D71">
        <v>696</v>
      </c>
      <c r="E71">
        <v>522</v>
      </c>
    </row>
    <row r="72" spans="1:5" x14ac:dyDescent="0.3">
      <c r="A72" t="s">
        <v>75</v>
      </c>
      <c r="B72">
        <v>900.9</v>
      </c>
      <c r="C72">
        <v>1006</v>
      </c>
      <c r="D72">
        <v>524</v>
      </c>
      <c r="E72">
        <v>531</v>
      </c>
    </row>
    <row r="73" spans="1:5" x14ac:dyDescent="0.3">
      <c r="A73" t="s">
        <v>76</v>
      </c>
      <c r="B73">
        <v>953.55</v>
      </c>
      <c r="C73">
        <v>1088</v>
      </c>
      <c r="D73">
        <v>595</v>
      </c>
      <c r="E73">
        <v>635</v>
      </c>
    </row>
    <row r="74" spans="1:5" x14ac:dyDescent="0.3">
      <c r="A74" t="s">
        <v>77</v>
      </c>
      <c r="B74">
        <v>1805.7</v>
      </c>
      <c r="C74">
        <v>1794</v>
      </c>
      <c r="D74">
        <v>556</v>
      </c>
      <c r="E74">
        <v>445</v>
      </c>
    </row>
    <row r="75" spans="1:5" x14ac:dyDescent="0.3">
      <c r="A75" t="s">
        <v>78</v>
      </c>
      <c r="B75">
        <v>2181.4</v>
      </c>
      <c r="C75">
        <v>2095</v>
      </c>
      <c r="D75">
        <v>670</v>
      </c>
      <c r="E75">
        <v>583</v>
      </c>
    </row>
    <row r="76" spans="1:5" x14ac:dyDescent="0.3">
      <c r="A76" t="s">
        <v>79</v>
      </c>
      <c r="B76">
        <v>2011.1</v>
      </c>
      <c r="C76">
        <v>2103</v>
      </c>
      <c r="D76">
        <v>671</v>
      </c>
      <c r="E76">
        <v>559</v>
      </c>
    </row>
    <row r="77" spans="1:5" x14ac:dyDescent="0.3">
      <c r="A77" t="s">
        <v>80</v>
      </c>
      <c r="B77">
        <v>1895.4</v>
      </c>
      <c r="C77">
        <v>2101</v>
      </c>
      <c r="D77">
        <v>657</v>
      </c>
      <c r="E77">
        <v>496</v>
      </c>
    </row>
    <row r="78" spans="1:5" x14ac:dyDescent="0.3">
      <c r="A78" t="s">
        <v>81</v>
      </c>
      <c r="B78">
        <v>1682.2</v>
      </c>
      <c r="C78">
        <v>1631</v>
      </c>
      <c r="D78">
        <v>718</v>
      </c>
      <c r="E78">
        <v>587</v>
      </c>
    </row>
    <row r="79" spans="1:5" x14ac:dyDescent="0.3">
      <c r="A79" t="s">
        <v>82</v>
      </c>
      <c r="B79">
        <v>1046.5</v>
      </c>
      <c r="C79">
        <v>1040</v>
      </c>
      <c r="D79">
        <v>601</v>
      </c>
      <c r="E79">
        <v>696</v>
      </c>
    </row>
    <row r="80" spans="1:5" x14ac:dyDescent="0.3">
      <c r="A80" t="s">
        <v>83</v>
      </c>
      <c r="B80">
        <v>1059.5</v>
      </c>
      <c r="C80">
        <v>1048</v>
      </c>
      <c r="D80">
        <v>600</v>
      </c>
      <c r="E80">
        <v>801</v>
      </c>
    </row>
    <row r="81" spans="1:5" x14ac:dyDescent="0.3">
      <c r="A81" t="s">
        <v>84</v>
      </c>
      <c r="B81">
        <v>1788.8</v>
      </c>
      <c r="C81">
        <v>1833</v>
      </c>
      <c r="D81">
        <v>508</v>
      </c>
      <c r="E81">
        <v>458</v>
      </c>
    </row>
    <row r="82" spans="1:5" x14ac:dyDescent="0.3">
      <c r="A82" t="s">
        <v>85</v>
      </c>
      <c r="B82">
        <v>2168.4</v>
      </c>
      <c r="C82">
        <v>1986</v>
      </c>
      <c r="D82">
        <v>713</v>
      </c>
      <c r="E82">
        <v>589</v>
      </c>
    </row>
    <row r="83" spans="1:5" x14ac:dyDescent="0.3">
      <c r="A83" t="s">
        <v>86</v>
      </c>
      <c r="B83">
        <v>2060.5</v>
      </c>
      <c r="C83">
        <v>1878</v>
      </c>
      <c r="D83">
        <v>664</v>
      </c>
      <c r="E83">
        <v>599</v>
      </c>
    </row>
    <row r="84" spans="1:5" x14ac:dyDescent="0.3">
      <c r="A84" t="s">
        <v>87</v>
      </c>
      <c r="B84">
        <v>1945.45</v>
      </c>
      <c r="C84">
        <v>2006</v>
      </c>
      <c r="D84">
        <v>633</v>
      </c>
      <c r="E84">
        <v>614</v>
      </c>
    </row>
    <row r="85" spans="1:5" x14ac:dyDescent="0.3">
      <c r="A85" t="s">
        <v>88</v>
      </c>
      <c r="B85">
        <v>1576.9</v>
      </c>
      <c r="C85">
        <v>1329</v>
      </c>
      <c r="D85">
        <v>591</v>
      </c>
      <c r="E85">
        <v>581</v>
      </c>
    </row>
    <row r="86" spans="1:5" x14ac:dyDescent="0.3">
      <c r="A86" t="s">
        <v>89</v>
      </c>
      <c r="B86">
        <v>869.7</v>
      </c>
      <c r="C86">
        <v>953</v>
      </c>
      <c r="D86">
        <v>615</v>
      </c>
      <c r="E86">
        <v>554</v>
      </c>
    </row>
    <row r="87" spans="1:5" x14ac:dyDescent="0.3">
      <c r="A87" t="s">
        <v>90</v>
      </c>
      <c r="B87">
        <v>892.45</v>
      </c>
      <c r="C87">
        <v>1016</v>
      </c>
      <c r="D87">
        <v>570</v>
      </c>
      <c r="E87">
        <v>640</v>
      </c>
    </row>
    <row r="88" spans="1:5" x14ac:dyDescent="0.3">
      <c r="A88" t="s">
        <v>91</v>
      </c>
      <c r="B88">
        <v>449.15</v>
      </c>
      <c r="C88">
        <v>984</v>
      </c>
      <c r="D88">
        <v>110</v>
      </c>
      <c r="E88">
        <v>100</v>
      </c>
    </row>
    <row r="89" spans="1:5" x14ac:dyDescent="0.3">
      <c r="A89" t="s">
        <v>92</v>
      </c>
      <c r="B89">
        <v>685.1</v>
      </c>
      <c r="C89">
        <v>1550</v>
      </c>
      <c r="D89">
        <v>253</v>
      </c>
      <c r="E89">
        <v>122</v>
      </c>
    </row>
    <row r="90" spans="1:5" x14ac:dyDescent="0.3">
      <c r="A90" t="s">
        <v>93</v>
      </c>
      <c r="B90">
        <v>1198.5999999999999</v>
      </c>
      <c r="C90">
        <v>1906</v>
      </c>
      <c r="D90">
        <v>367</v>
      </c>
      <c r="E90">
        <v>348</v>
      </c>
    </row>
    <row r="91" spans="1:5" x14ac:dyDescent="0.3">
      <c r="A91" t="s">
        <v>94</v>
      </c>
      <c r="B91">
        <v>1794.65</v>
      </c>
      <c r="C91">
        <v>2225</v>
      </c>
      <c r="D91">
        <v>606</v>
      </c>
      <c r="E91">
        <v>599</v>
      </c>
    </row>
    <row r="92" spans="1:5" x14ac:dyDescent="0.3">
      <c r="A92" t="s">
        <v>95</v>
      </c>
      <c r="B92">
        <v>1587.3</v>
      </c>
      <c r="C92">
        <v>1505</v>
      </c>
      <c r="D92">
        <v>697</v>
      </c>
      <c r="E92">
        <v>630</v>
      </c>
    </row>
    <row r="93" spans="1:5" x14ac:dyDescent="0.3">
      <c r="A93" t="s">
        <v>96</v>
      </c>
      <c r="B93">
        <v>1006.2</v>
      </c>
      <c r="C93">
        <v>1117</v>
      </c>
      <c r="D93">
        <v>586</v>
      </c>
      <c r="E93">
        <v>676</v>
      </c>
    </row>
    <row r="94" spans="1:5" x14ac:dyDescent="0.3">
      <c r="A94" t="s">
        <v>97</v>
      </c>
      <c r="B94">
        <v>991.25</v>
      </c>
      <c r="C94">
        <v>1025</v>
      </c>
      <c r="D94">
        <v>590</v>
      </c>
      <c r="E94">
        <v>762</v>
      </c>
    </row>
    <row r="95" spans="1:5" x14ac:dyDescent="0.3">
      <c r="A95" t="s">
        <v>98</v>
      </c>
      <c r="B95">
        <v>1457.95</v>
      </c>
      <c r="C95">
        <v>1627</v>
      </c>
      <c r="D95">
        <v>429</v>
      </c>
      <c r="E95">
        <v>424</v>
      </c>
    </row>
    <row r="96" spans="1:5" x14ac:dyDescent="0.3">
      <c r="A96" t="s">
        <v>99</v>
      </c>
      <c r="B96">
        <v>1745.25</v>
      </c>
      <c r="C96">
        <v>1797</v>
      </c>
      <c r="D96">
        <v>628</v>
      </c>
      <c r="E96">
        <v>635</v>
      </c>
    </row>
    <row r="97" spans="1:5" x14ac:dyDescent="0.3">
      <c r="A97" t="s">
        <v>100</v>
      </c>
      <c r="B97">
        <v>1687.4</v>
      </c>
      <c r="C97">
        <v>1749</v>
      </c>
      <c r="D97">
        <v>608</v>
      </c>
      <c r="E97">
        <v>641</v>
      </c>
    </row>
    <row r="98" spans="1:5" x14ac:dyDescent="0.3">
      <c r="A98" t="s">
        <v>101</v>
      </c>
      <c r="B98">
        <v>1438.45</v>
      </c>
      <c r="C98">
        <v>1771</v>
      </c>
      <c r="D98">
        <v>466</v>
      </c>
      <c r="E98">
        <v>394</v>
      </c>
    </row>
    <row r="99" spans="1:5" x14ac:dyDescent="0.3">
      <c r="A99" t="s">
        <v>102</v>
      </c>
      <c r="B99">
        <v>1341.6</v>
      </c>
      <c r="C99">
        <v>1545</v>
      </c>
      <c r="D99">
        <v>537</v>
      </c>
      <c r="E99">
        <v>485</v>
      </c>
    </row>
    <row r="100" spans="1:5" x14ac:dyDescent="0.3">
      <c r="A100" t="s">
        <v>103</v>
      </c>
      <c r="B100">
        <v>570.70000000000005</v>
      </c>
      <c r="C100">
        <v>889</v>
      </c>
      <c r="D100">
        <v>427</v>
      </c>
      <c r="E100">
        <v>371</v>
      </c>
    </row>
    <row r="101" spans="1:5" x14ac:dyDescent="0.3">
      <c r="A101" t="s">
        <v>104</v>
      </c>
      <c r="B101">
        <v>954.2</v>
      </c>
      <c r="C101">
        <v>1084</v>
      </c>
      <c r="D101">
        <v>629</v>
      </c>
      <c r="E101">
        <v>590</v>
      </c>
    </row>
    <row r="102" spans="1:5" x14ac:dyDescent="0.3">
      <c r="A102" t="s">
        <v>105</v>
      </c>
      <c r="B102">
        <v>1501.5</v>
      </c>
      <c r="C102">
        <v>1697</v>
      </c>
      <c r="D102">
        <v>400</v>
      </c>
      <c r="E102">
        <v>449</v>
      </c>
    </row>
    <row r="103" spans="1:5" x14ac:dyDescent="0.3">
      <c r="A103" t="s">
        <v>106</v>
      </c>
      <c r="B103">
        <v>1576.25</v>
      </c>
      <c r="C103">
        <v>1789</v>
      </c>
      <c r="D103">
        <v>622</v>
      </c>
      <c r="E103">
        <v>591</v>
      </c>
    </row>
    <row r="104" spans="1:5" x14ac:dyDescent="0.3">
      <c r="A104" t="s">
        <v>107</v>
      </c>
      <c r="B104">
        <v>1376.05</v>
      </c>
      <c r="C104">
        <v>1601</v>
      </c>
      <c r="D104">
        <v>524</v>
      </c>
      <c r="E104">
        <v>517</v>
      </c>
    </row>
    <row r="105" spans="1:5" x14ac:dyDescent="0.3">
      <c r="A105" t="s">
        <v>108</v>
      </c>
      <c r="B105">
        <v>1316.25</v>
      </c>
      <c r="C105">
        <v>1566</v>
      </c>
      <c r="D105">
        <v>524</v>
      </c>
      <c r="E105">
        <v>423</v>
      </c>
    </row>
    <row r="106" spans="1:5" x14ac:dyDescent="0.3">
      <c r="A106" t="s">
        <v>109</v>
      </c>
      <c r="B106">
        <v>968.5</v>
      </c>
      <c r="C106">
        <v>1027</v>
      </c>
      <c r="D106">
        <v>699</v>
      </c>
      <c r="E106">
        <v>738</v>
      </c>
    </row>
    <row r="107" spans="1:5" x14ac:dyDescent="0.3">
      <c r="A107" t="s">
        <v>110</v>
      </c>
      <c r="B107">
        <v>724.75</v>
      </c>
      <c r="C107">
        <v>707</v>
      </c>
      <c r="D107">
        <v>538</v>
      </c>
      <c r="E107">
        <v>594</v>
      </c>
    </row>
    <row r="108" spans="1:5" x14ac:dyDescent="0.3">
      <c r="A108" t="s">
        <v>111</v>
      </c>
      <c r="B108">
        <v>729.95</v>
      </c>
      <c r="C108">
        <v>780</v>
      </c>
      <c r="D108">
        <v>551</v>
      </c>
      <c r="E108">
        <v>499</v>
      </c>
    </row>
    <row r="109" spans="1:5" x14ac:dyDescent="0.3">
      <c r="A109" t="s">
        <v>112</v>
      </c>
      <c r="B109">
        <v>934.05</v>
      </c>
      <c r="C109">
        <v>968</v>
      </c>
      <c r="D109">
        <v>773</v>
      </c>
      <c r="E109">
        <v>694</v>
      </c>
    </row>
    <row r="110" spans="1:5" x14ac:dyDescent="0.3">
      <c r="A110" t="s">
        <v>113</v>
      </c>
      <c r="B110">
        <v>1461.85</v>
      </c>
      <c r="C110">
        <v>1296</v>
      </c>
      <c r="D110">
        <v>662</v>
      </c>
      <c r="E110">
        <v>512</v>
      </c>
    </row>
    <row r="111" spans="1:5" x14ac:dyDescent="0.3">
      <c r="A111" t="s">
        <v>114</v>
      </c>
      <c r="B111">
        <v>1455.35</v>
      </c>
      <c r="C111">
        <v>1334</v>
      </c>
      <c r="D111">
        <v>652</v>
      </c>
      <c r="E111">
        <v>596</v>
      </c>
    </row>
    <row r="112" spans="1:5" x14ac:dyDescent="0.3">
      <c r="A112" t="s">
        <v>115</v>
      </c>
      <c r="B112">
        <v>1446.9</v>
      </c>
      <c r="C112">
        <v>1517</v>
      </c>
      <c r="D112">
        <v>822</v>
      </c>
      <c r="E112">
        <v>552</v>
      </c>
    </row>
    <row r="113" spans="1:5" x14ac:dyDescent="0.3">
      <c r="A113" t="s">
        <v>116</v>
      </c>
      <c r="B113">
        <v>1322.75</v>
      </c>
      <c r="C113">
        <v>1069</v>
      </c>
      <c r="D113">
        <v>793</v>
      </c>
      <c r="E113">
        <v>649</v>
      </c>
    </row>
    <row r="114" spans="1:5" x14ac:dyDescent="0.3">
      <c r="A114" t="s">
        <v>117</v>
      </c>
      <c r="B114">
        <v>720.2</v>
      </c>
      <c r="C114">
        <v>792</v>
      </c>
      <c r="D114">
        <v>538</v>
      </c>
      <c r="E114">
        <v>589</v>
      </c>
    </row>
    <row r="115" spans="1:5" x14ac:dyDescent="0.3">
      <c r="A115" t="s">
        <v>118</v>
      </c>
      <c r="B115">
        <v>588.9</v>
      </c>
      <c r="C115">
        <v>950</v>
      </c>
      <c r="D115">
        <v>502</v>
      </c>
      <c r="E115">
        <v>447</v>
      </c>
    </row>
    <row r="116" spans="1:5" x14ac:dyDescent="0.3">
      <c r="A116" t="s">
        <v>119</v>
      </c>
      <c r="B116">
        <v>183.95</v>
      </c>
      <c r="C116">
        <v>683</v>
      </c>
      <c r="D116">
        <v>270</v>
      </c>
      <c r="E116">
        <v>114</v>
      </c>
    </row>
    <row r="117" spans="1:5" x14ac:dyDescent="0.3">
      <c r="A117" t="s">
        <v>120</v>
      </c>
      <c r="B117">
        <v>1185.5999999999999</v>
      </c>
      <c r="C117">
        <v>1780</v>
      </c>
      <c r="D117">
        <v>477</v>
      </c>
      <c r="E117">
        <v>240</v>
      </c>
    </row>
    <row r="118" spans="1:5" x14ac:dyDescent="0.3">
      <c r="A118" t="s">
        <v>121</v>
      </c>
      <c r="B118">
        <v>1567.15</v>
      </c>
      <c r="C118">
        <v>1859</v>
      </c>
      <c r="D118">
        <v>793</v>
      </c>
      <c r="E118">
        <v>529</v>
      </c>
    </row>
    <row r="119" spans="1:5" x14ac:dyDescent="0.3">
      <c r="A119" t="s">
        <v>122</v>
      </c>
      <c r="B119">
        <v>1355.25</v>
      </c>
      <c r="C119">
        <v>1933</v>
      </c>
      <c r="D119">
        <v>662</v>
      </c>
      <c r="E119">
        <v>465</v>
      </c>
    </row>
    <row r="120" spans="1:5" x14ac:dyDescent="0.3">
      <c r="A120" t="s">
        <v>123</v>
      </c>
      <c r="B120">
        <v>1403.35</v>
      </c>
      <c r="C120">
        <v>1610</v>
      </c>
      <c r="D120">
        <v>694</v>
      </c>
      <c r="E120">
        <v>587</v>
      </c>
    </row>
    <row r="121" spans="1:5" x14ac:dyDescent="0.3">
      <c r="A121" t="s">
        <v>124</v>
      </c>
      <c r="B121">
        <v>673.4</v>
      </c>
      <c r="C121">
        <v>1042</v>
      </c>
      <c r="D121">
        <v>476</v>
      </c>
      <c r="E121">
        <v>452</v>
      </c>
    </row>
    <row r="122" spans="1:5" x14ac:dyDescent="0.3">
      <c r="A122" t="s">
        <v>125</v>
      </c>
      <c r="B122">
        <v>730.6</v>
      </c>
      <c r="C122">
        <v>1017</v>
      </c>
      <c r="D122">
        <v>593</v>
      </c>
      <c r="E122">
        <v>573</v>
      </c>
    </row>
    <row r="123" spans="1:5" x14ac:dyDescent="0.3">
      <c r="A123" t="s">
        <v>126</v>
      </c>
      <c r="B123">
        <v>1064.05</v>
      </c>
      <c r="C123">
        <v>1257</v>
      </c>
      <c r="D123">
        <v>797</v>
      </c>
      <c r="E123">
        <v>784</v>
      </c>
    </row>
    <row r="124" spans="1:5" x14ac:dyDescent="0.3">
      <c r="A124" t="s">
        <v>127</v>
      </c>
      <c r="B124">
        <v>1580.15</v>
      </c>
      <c r="C124">
        <v>1630</v>
      </c>
      <c r="D124">
        <v>703</v>
      </c>
      <c r="E124">
        <v>553</v>
      </c>
    </row>
    <row r="125" spans="1:5" x14ac:dyDescent="0.3">
      <c r="A125" t="s">
        <v>128</v>
      </c>
      <c r="B125">
        <v>1667.25</v>
      </c>
      <c r="C125">
        <v>1843</v>
      </c>
      <c r="D125">
        <v>670</v>
      </c>
      <c r="E125">
        <v>671</v>
      </c>
    </row>
    <row r="126" spans="1:5" x14ac:dyDescent="0.3">
      <c r="A126" t="s">
        <v>129</v>
      </c>
      <c r="B126">
        <v>1545.05</v>
      </c>
      <c r="C126">
        <v>2124</v>
      </c>
      <c r="D126">
        <v>727</v>
      </c>
      <c r="E126">
        <v>572</v>
      </c>
    </row>
    <row r="127" spans="1:5" x14ac:dyDescent="0.3">
      <c r="A127" t="s">
        <v>130</v>
      </c>
      <c r="B127">
        <v>681.2</v>
      </c>
      <c r="C127">
        <v>1255</v>
      </c>
      <c r="D127">
        <v>263</v>
      </c>
      <c r="E127">
        <v>148</v>
      </c>
    </row>
    <row r="128" spans="1:5" x14ac:dyDescent="0.3">
      <c r="A128" t="s">
        <v>131</v>
      </c>
      <c r="B128">
        <v>713.7</v>
      </c>
      <c r="C128">
        <v>860</v>
      </c>
      <c r="D128">
        <v>668</v>
      </c>
      <c r="E128">
        <v>540</v>
      </c>
    </row>
    <row r="129" spans="1:5" x14ac:dyDescent="0.3">
      <c r="A129" t="s">
        <v>132</v>
      </c>
      <c r="B129">
        <v>555.1</v>
      </c>
      <c r="C129">
        <v>1056</v>
      </c>
      <c r="D129">
        <v>556</v>
      </c>
      <c r="E129">
        <v>395</v>
      </c>
    </row>
    <row r="130" spans="1:5" x14ac:dyDescent="0.3">
      <c r="A130" t="s">
        <v>133</v>
      </c>
      <c r="B130">
        <v>681.2</v>
      </c>
      <c r="C130">
        <v>1212</v>
      </c>
      <c r="D130">
        <v>211</v>
      </c>
      <c r="E130">
        <v>147</v>
      </c>
    </row>
    <row r="131" spans="1:5" x14ac:dyDescent="0.3">
      <c r="A131" t="s">
        <v>134</v>
      </c>
      <c r="B131">
        <v>1112.8</v>
      </c>
      <c r="C131">
        <v>1818</v>
      </c>
      <c r="D131">
        <v>438</v>
      </c>
      <c r="E131">
        <v>251</v>
      </c>
    </row>
    <row r="132" spans="1:5" x14ac:dyDescent="0.3">
      <c r="A132" t="s">
        <v>135</v>
      </c>
      <c r="B132">
        <v>462.8</v>
      </c>
      <c r="C132">
        <v>1283</v>
      </c>
      <c r="D132">
        <v>92</v>
      </c>
      <c r="E132">
        <v>77</v>
      </c>
    </row>
    <row r="133" spans="1:5" x14ac:dyDescent="0.3">
      <c r="A133" t="s">
        <v>136</v>
      </c>
      <c r="B133">
        <v>476.45</v>
      </c>
      <c r="C133">
        <v>761</v>
      </c>
      <c r="D133">
        <v>215</v>
      </c>
      <c r="E133">
        <v>132</v>
      </c>
    </row>
    <row r="134" spans="1:5" x14ac:dyDescent="0.3">
      <c r="A134" t="s">
        <v>137</v>
      </c>
      <c r="B134">
        <v>439.4</v>
      </c>
      <c r="C134">
        <v>1086</v>
      </c>
      <c r="D134">
        <v>112</v>
      </c>
      <c r="E134">
        <v>93</v>
      </c>
    </row>
    <row r="135" spans="1:5" x14ac:dyDescent="0.3">
      <c r="A135" t="s">
        <v>138</v>
      </c>
      <c r="B135">
        <v>176.8</v>
      </c>
      <c r="C135">
        <v>486</v>
      </c>
      <c r="D135">
        <v>151</v>
      </c>
      <c r="E135">
        <v>65</v>
      </c>
    </row>
    <row r="136" spans="1:5" x14ac:dyDescent="0.3">
      <c r="A136" t="s">
        <v>139</v>
      </c>
      <c r="B136">
        <v>488.8</v>
      </c>
      <c r="C136">
        <v>975</v>
      </c>
      <c r="D136">
        <v>468</v>
      </c>
      <c r="E136">
        <v>311</v>
      </c>
    </row>
    <row r="137" spans="1:5" x14ac:dyDescent="0.3">
      <c r="A137" t="s">
        <v>140</v>
      </c>
      <c r="B137">
        <v>1299.3499999999999</v>
      </c>
      <c r="C137">
        <v>1544</v>
      </c>
      <c r="D137">
        <v>479</v>
      </c>
      <c r="E137">
        <v>436</v>
      </c>
    </row>
    <row r="138" spans="1:5" x14ac:dyDescent="0.3">
      <c r="A138" t="s">
        <v>141</v>
      </c>
      <c r="B138">
        <v>1392.3</v>
      </c>
      <c r="C138">
        <v>1811</v>
      </c>
      <c r="D138">
        <v>562</v>
      </c>
      <c r="E138">
        <v>433</v>
      </c>
    </row>
    <row r="139" spans="1:5" x14ac:dyDescent="0.3">
      <c r="A139" t="s">
        <v>142</v>
      </c>
      <c r="B139">
        <v>1411.15</v>
      </c>
      <c r="C139">
        <v>1747</v>
      </c>
      <c r="D139">
        <v>683</v>
      </c>
      <c r="E139">
        <v>633</v>
      </c>
    </row>
    <row r="140" spans="1:5" x14ac:dyDescent="0.3">
      <c r="A140" t="s">
        <v>143</v>
      </c>
      <c r="B140">
        <v>1327.95</v>
      </c>
      <c r="C140">
        <v>1689</v>
      </c>
      <c r="D140">
        <v>746</v>
      </c>
      <c r="E140">
        <v>503</v>
      </c>
    </row>
    <row r="141" spans="1:5" x14ac:dyDescent="0.3">
      <c r="A141" t="s">
        <v>144</v>
      </c>
      <c r="B141">
        <v>1196.6500000000001</v>
      </c>
      <c r="C141">
        <v>1297</v>
      </c>
      <c r="D141">
        <v>739</v>
      </c>
      <c r="E141">
        <v>572</v>
      </c>
    </row>
    <row r="142" spans="1:5" x14ac:dyDescent="0.3">
      <c r="A142" t="s">
        <v>145</v>
      </c>
      <c r="B142">
        <v>70.2</v>
      </c>
      <c r="C142">
        <v>375</v>
      </c>
      <c r="D142">
        <v>90</v>
      </c>
      <c r="E142">
        <v>24</v>
      </c>
    </row>
    <row r="143" spans="1:5" x14ac:dyDescent="0.3">
      <c r="A143" t="s">
        <v>146</v>
      </c>
      <c r="B143">
        <v>167.7</v>
      </c>
      <c r="C143">
        <v>751</v>
      </c>
      <c r="D143">
        <v>284</v>
      </c>
      <c r="E143">
        <v>89</v>
      </c>
    </row>
    <row r="144" spans="1:5" x14ac:dyDescent="0.3">
      <c r="A144" t="s">
        <v>147</v>
      </c>
      <c r="B144">
        <v>926.9</v>
      </c>
      <c r="C144">
        <v>1496</v>
      </c>
      <c r="D144">
        <v>333</v>
      </c>
      <c r="E144">
        <v>281</v>
      </c>
    </row>
    <row r="145" spans="1:5" x14ac:dyDescent="0.3">
      <c r="A145" t="s">
        <v>148</v>
      </c>
      <c r="B145">
        <v>1232.4000000000001</v>
      </c>
      <c r="C145">
        <v>1895</v>
      </c>
      <c r="D145">
        <v>492</v>
      </c>
      <c r="E145">
        <v>311</v>
      </c>
    </row>
    <row r="146" spans="1:5" x14ac:dyDescent="0.3">
      <c r="A146" t="s">
        <v>149</v>
      </c>
      <c r="B146">
        <v>1320.15</v>
      </c>
      <c r="C146">
        <v>1685</v>
      </c>
      <c r="D146">
        <v>706</v>
      </c>
      <c r="E146">
        <v>575</v>
      </c>
    </row>
    <row r="147" spans="1:5" x14ac:dyDescent="0.3">
      <c r="A147" t="s">
        <v>150</v>
      </c>
      <c r="B147">
        <v>1315.6</v>
      </c>
      <c r="C147">
        <v>1978</v>
      </c>
      <c r="D147">
        <v>769</v>
      </c>
      <c r="E147">
        <v>460</v>
      </c>
    </row>
    <row r="148" spans="1:5" x14ac:dyDescent="0.3">
      <c r="A148" t="s">
        <v>151</v>
      </c>
      <c r="B148">
        <v>1266.2</v>
      </c>
      <c r="C148">
        <v>1623</v>
      </c>
      <c r="D148">
        <v>843</v>
      </c>
      <c r="E148">
        <v>583</v>
      </c>
    </row>
    <row r="149" spans="1:5" x14ac:dyDescent="0.3">
      <c r="A149" t="s">
        <v>152</v>
      </c>
      <c r="B149">
        <v>991.25</v>
      </c>
      <c r="C149">
        <v>1083</v>
      </c>
      <c r="D149">
        <v>750</v>
      </c>
      <c r="E149">
        <v>746</v>
      </c>
    </row>
    <row r="150" spans="1:5" x14ac:dyDescent="0.3">
      <c r="A150" t="s">
        <v>153</v>
      </c>
      <c r="B150">
        <v>980.85</v>
      </c>
      <c r="C150">
        <v>1080</v>
      </c>
      <c r="D150">
        <v>1198</v>
      </c>
      <c r="E150">
        <v>853</v>
      </c>
    </row>
    <row r="151" spans="1:5" x14ac:dyDescent="0.3">
      <c r="A151" t="s">
        <v>154</v>
      </c>
      <c r="B151">
        <v>1271.4000000000001</v>
      </c>
      <c r="C151">
        <v>1487</v>
      </c>
      <c r="D151">
        <v>491</v>
      </c>
      <c r="E151">
        <v>429</v>
      </c>
    </row>
    <row r="152" spans="1:5" x14ac:dyDescent="0.3">
      <c r="A152" t="s">
        <v>155</v>
      </c>
      <c r="B152">
        <v>1222</v>
      </c>
      <c r="C152">
        <v>1635</v>
      </c>
      <c r="D152">
        <v>495</v>
      </c>
      <c r="E152">
        <v>319</v>
      </c>
    </row>
    <row r="153" spans="1:5" x14ac:dyDescent="0.3">
      <c r="A153" t="s">
        <v>156</v>
      </c>
      <c r="B153">
        <v>1263.5999999999999</v>
      </c>
      <c r="C153">
        <v>1548</v>
      </c>
      <c r="D153">
        <v>664</v>
      </c>
      <c r="E153">
        <v>476</v>
      </c>
    </row>
    <row r="154" spans="1:5" x14ac:dyDescent="0.3">
      <c r="A154" t="s">
        <v>157</v>
      </c>
      <c r="B154">
        <v>1305.8499999999999</v>
      </c>
      <c r="C154">
        <v>1934</v>
      </c>
      <c r="D154">
        <v>779</v>
      </c>
      <c r="E154">
        <v>501</v>
      </c>
    </row>
    <row r="155" spans="1:5" x14ac:dyDescent="0.3">
      <c r="A155" t="s">
        <v>158</v>
      </c>
      <c r="B155">
        <v>1235.6500000000001</v>
      </c>
      <c r="C155">
        <v>1367</v>
      </c>
      <c r="D155">
        <v>651</v>
      </c>
      <c r="E155">
        <v>598</v>
      </c>
    </row>
    <row r="156" spans="1:5" x14ac:dyDescent="0.3">
      <c r="A156" t="s">
        <v>159</v>
      </c>
      <c r="B156">
        <v>784.55</v>
      </c>
      <c r="C156">
        <v>1099</v>
      </c>
      <c r="D156">
        <v>543</v>
      </c>
      <c r="E156">
        <v>496</v>
      </c>
    </row>
    <row r="157" spans="1:5" x14ac:dyDescent="0.3">
      <c r="A157" t="s">
        <v>160</v>
      </c>
      <c r="B157">
        <v>1040</v>
      </c>
      <c r="C157">
        <v>1348</v>
      </c>
      <c r="D157">
        <v>849</v>
      </c>
      <c r="E157">
        <v>829</v>
      </c>
    </row>
    <row r="158" spans="1:5" x14ac:dyDescent="0.3">
      <c r="A158" t="s">
        <v>161</v>
      </c>
      <c r="B158">
        <v>1041.3</v>
      </c>
      <c r="C158">
        <v>1354</v>
      </c>
      <c r="D158">
        <v>333</v>
      </c>
      <c r="E158">
        <v>307</v>
      </c>
    </row>
    <row r="159" spans="1:5" x14ac:dyDescent="0.3">
      <c r="A159" t="s">
        <v>162</v>
      </c>
      <c r="B159">
        <v>1262.95</v>
      </c>
      <c r="C159">
        <v>1465</v>
      </c>
      <c r="D159">
        <v>637</v>
      </c>
      <c r="E159">
        <v>509</v>
      </c>
    </row>
    <row r="160" spans="1:5" x14ac:dyDescent="0.3">
      <c r="A160" t="s">
        <v>163</v>
      </c>
      <c r="B160">
        <v>1324.7</v>
      </c>
      <c r="C160">
        <v>1480</v>
      </c>
      <c r="D160">
        <v>635</v>
      </c>
      <c r="E160">
        <v>496</v>
      </c>
    </row>
    <row r="161" spans="1:5" x14ac:dyDescent="0.3">
      <c r="A161" t="s">
        <v>164</v>
      </c>
      <c r="B161">
        <v>1171.3</v>
      </c>
      <c r="C161">
        <v>1780</v>
      </c>
      <c r="D161">
        <v>610</v>
      </c>
      <c r="E161">
        <v>393</v>
      </c>
    </row>
    <row r="162" spans="1:5" x14ac:dyDescent="0.3">
      <c r="A162" t="s">
        <v>165</v>
      </c>
      <c r="B162">
        <v>983.45</v>
      </c>
      <c r="C162">
        <v>1409</v>
      </c>
      <c r="D162">
        <v>578</v>
      </c>
      <c r="E162">
        <v>514</v>
      </c>
    </row>
    <row r="163" spans="1:5" x14ac:dyDescent="0.3">
      <c r="A163" t="s">
        <v>166</v>
      </c>
      <c r="B163">
        <v>716.3</v>
      </c>
      <c r="C163">
        <v>1236</v>
      </c>
      <c r="D163">
        <v>584</v>
      </c>
      <c r="E163">
        <v>470</v>
      </c>
    </row>
    <row r="164" spans="1:5" x14ac:dyDescent="0.3">
      <c r="A164" t="s">
        <v>167</v>
      </c>
      <c r="B164">
        <v>741</v>
      </c>
      <c r="C164">
        <v>1107</v>
      </c>
      <c r="D164">
        <v>605</v>
      </c>
      <c r="E164">
        <v>498</v>
      </c>
    </row>
    <row r="165" spans="1:5" x14ac:dyDescent="0.3">
      <c r="A165" t="s">
        <v>168</v>
      </c>
      <c r="B165">
        <v>1105.6500000000001</v>
      </c>
      <c r="C165">
        <v>1619</v>
      </c>
      <c r="D165">
        <v>523</v>
      </c>
      <c r="E165">
        <v>356</v>
      </c>
    </row>
    <row r="166" spans="1:5" x14ac:dyDescent="0.3">
      <c r="A166" t="s">
        <v>169</v>
      </c>
      <c r="B166">
        <v>1255.1500000000001</v>
      </c>
      <c r="C166">
        <v>1604</v>
      </c>
      <c r="D166">
        <v>589</v>
      </c>
      <c r="E166">
        <v>504</v>
      </c>
    </row>
    <row r="167" spans="1:5" x14ac:dyDescent="0.3">
      <c r="A167" t="s">
        <v>170</v>
      </c>
      <c r="B167">
        <v>1267.5</v>
      </c>
      <c r="C167">
        <v>1536</v>
      </c>
      <c r="D167">
        <v>613</v>
      </c>
      <c r="E167">
        <v>589</v>
      </c>
    </row>
    <row r="168" spans="1:5" x14ac:dyDescent="0.3">
      <c r="A168" t="s">
        <v>171</v>
      </c>
      <c r="B168">
        <v>1278.55</v>
      </c>
      <c r="C168">
        <v>1851</v>
      </c>
      <c r="D168">
        <v>655</v>
      </c>
      <c r="E168">
        <v>513</v>
      </c>
    </row>
    <row r="169" spans="1:5" x14ac:dyDescent="0.3">
      <c r="A169" t="s">
        <v>172</v>
      </c>
      <c r="B169">
        <v>1101.75</v>
      </c>
      <c r="C169">
        <v>1367</v>
      </c>
      <c r="D169">
        <v>686</v>
      </c>
      <c r="E169">
        <v>529</v>
      </c>
    </row>
    <row r="170" spans="1:5" x14ac:dyDescent="0.3">
      <c r="A170" t="s">
        <v>173</v>
      </c>
      <c r="B170">
        <v>726.05</v>
      </c>
      <c r="C170">
        <v>1124</v>
      </c>
      <c r="D170">
        <v>648</v>
      </c>
      <c r="E170">
        <v>587</v>
      </c>
    </row>
    <row r="171" spans="1:5" x14ac:dyDescent="0.3">
      <c r="A171" t="s">
        <v>174</v>
      </c>
      <c r="B171">
        <v>832.65</v>
      </c>
      <c r="C171">
        <v>1156</v>
      </c>
      <c r="D171">
        <v>712</v>
      </c>
      <c r="E171">
        <v>673</v>
      </c>
    </row>
    <row r="172" spans="1:5" x14ac:dyDescent="0.3">
      <c r="A172" t="s">
        <v>175</v>
      </c>
      <c r="B172">
        <v>1145.3</v>
      </c>
      <c r="C172">
        <v>1305</v>
      </c>
      <c r="D172">
        <v>496</v>
      </c>
      <c r="E172">
        <v>421</v>
      </c>
    </row>
    <row r="173" spans="1:5" x14ac:dyDescent="0.3">
      <c r="A173" t="s">
        <v>176</v>
      </c>
      <c r="B173">
        <v>1256.45</v>
      </c>
      <c r="C173">
        <v>1279</v>
      </c>
      <c r="D173">
        <v>655</v>
      </c>
      <c r="E173">
        <v>522</v>
      </c>
    </row>
    <row r="174" spans="1:5" x14ac:dyDescent="0.3">
      <c r="A174" t="s">
        <v>177</v>
      </c>
      <c r="B174">
        <v>1119.3</v>
      </c>
      <c r="C174">
        <v>1228</v>
      </c>
      <c r="D174">
        <v>677</v>
      </c>
      <c r="E174">
        <v>510</v>
      </c>
    </row>
    <row r="175" spans="1:5" x14ac:dyDescent="0.3">
      <c r="A175" t="s">
        <v>178</v>
      </c>
      <c r="B175">
        <v>1131</v>
      </c>
      <c r="C175">
        <v>1448</v>
      </c>
      <c r="D175">
        <v>685</v>
      </c>
      <c r="E175">
        <v>501</v>
      </c>
    </row>
    <row r="176" spans="1:5" x14ac:dyDescent="0.3">
      <c r="A176" t="s">
        <v>179</v>
      </c>
      <c r="B176">
        <v>947.05</v>
      </c>
      <c r="C176">
        <v>1354</v>
      </c>
      <c r="D176">
        <v>618</v>
      </c>
      <c r="E176">
        <v>577</v>
      </c>
    </row>
    <row r="177" spans="1:5" x14ac:dyDescent="0.3">
      <c r="A177" t="s">
        <v>180</v>
      </c>
      <c r="B177">
        <v>767</v>
      </c>
      <c r="C177">
        <v>808</v>
      </c>
      <c r="D177">
        <v>708</v>
      </c>
      <c r="E177">
        <v>574</v>
      </c>
    </row>
    <row r="178" spans="1:5" x14ac:dyDescent="0.3">
      <c r="A178" t="s">
        <v>181</v>
      </c>
      <c r="B178">
        <v>815.75</v>
      </c>
      <c r="C178">
        <v>949</v>
      </c>
      <c r="D178">
        <v>712</v>
      </c>
      <c r="E178">
        <v>630</v>
      </c>
    </row>
    <row r="179" spans="1:5" x14ac:dyDescent="0.3">
      <c r="A179" t="s">
        <v>182</v>
      </c>
      <c r="B179">
        <v>937.95</v>
      </c>
      <c r="C179">
        <v>1170</v>
      </c>
      <c r="D179">
        <v>437</v>
      </c>
      <c r="E179">
        <v>304</v>
      </c>
    </row>
    <row r="180" spans="1:5" x14ac:dyDescent="0.3">
      <c r="A180" t="s">
        <v>183</v>
      </c>
      <c r="B180">
        <v>1047.1500000000001</v>
      </c>
      <c r="C180">
        <v>1165</v>
      </c>
      <c r="D180">
        <v>623</v>
      </c>
      <c r="E180">
        <v>444</v>
      </c>
    </row>
    <row r="181" spans="1:5" x14ac:dyDescent="0.3">
      <c r="A181" t="s">
        <v>184</v>
      </c>
      <c r="B181">
        <v>933.4</v>
      </c>
      <c r="C181">
        <v>1021</v>
      </c>
      <c r="D181">
        <v>566</v>
      </c>
      <c r="E181">
        <v>421</v>
      </c>
    </row>
    <row r="182" spans="1:5" x14ac:dyDescent="0.3">
      <c r="A182" t="s">
        <v>185</v>
      </c>
      <c r="B182">
        <v>882.7</v>
      </c>
      <c r="C182">
        <v>1025</v>
      </c>
      <c r="D182">
        <v>529</v>
      </c>
      <c r="E182">
        <v>398</v>
      </c>
    </row>
    <row r="183" spans="1:5" x14ac:dyDescent="0.3">
      <c r="A183" t="s">
        <v>186</v>
      </c>
      <c r="B183">
        <v>295.75</v>
      </c>
      <c r="C183">
        <v>664</v>
      </c>
      <c r="D183">
        <v>164</v>
      </c>
      <c r="E183">
        <v>129</v>
      </c>
    </row>
    <row r="184" spans="1:5" x14ac:dyDescent="0.3">
      <c r="A184" t="s">
        <v>187</v>
      </c>
      <c r="B184">
        <v>87.75</v>
      </c>
      <c r="C184">
        <v>496</v>
      </c>
      <c r="D184">
        <v>186</v>
      </c>
      <c r="E184">
        <v>52</v>
      </c>
    </row>
    <row r="185" spans="1:5" x14ac:dyDescent="0.3">
      <c r="A185" t="s">
        <v>188</v>
      </c>
      <c r="B185">
        <v>717.6</v>
      </c>
      <c r="C185">
        <v>1042</v>
      </c>
      <c r="D185">
        <v>711</v>
      </c>
      <c r="E185">
        <v>538</v>
      </c>
    </row>
    <row r="186" spans="1:5" x14ac:dyDescent="0.3">
      <c r="A186" t="s">
        <v>189</v>
      </c>
      <c r="B186">
        <v>692.25</v>
      </c>
      <c r="C186">
        <v>936</v>
      </c>
      <c r="D186">
        <v>257</v>
      </c>
      <c r="E186">
        <v>271</v>
      </c>
    </row>
    <row r="187" spans="1:5" x14ac:dyDescent="0.3">
      <c r="A187" t="s">
        <v>190</v>
      </c>
      <c r="B187">
        <v>313.3</v>
      </c>
      <c r="C187">
        <v>779</v>
      </c>
      <c r="D187">
        <v>93</v>
      </c>
      <c r="E187">
        <v>54</v>
      </c>
    </row>
    <row r="188" spans="1:5" x14ac:dyDescent="0.3">
      <c r="A188" t="s">
        <v>191</v>
      </c>
      <c r="B188">
        <v>584.35</v>
      </c>
      <c r="C188">
        <v>1172</v>
      </c>
      <c r="D188">
        <v>318</v>
      </c>
      <c r="E188">
        <v>192</v>
      </c>
    </row>
    <row r="189" spans="1:5" x14ac:dyDescent="0.3">
      <c r="A189" t="s">
        <v>192</v>
      </c>
      <c r="B189">
        <v>1020.5</v>
      </c>
      <c r="C189">
        <v>1232</v>
      </c>
      <c r="D189">
        <v>542</v>
      </c>
      <c r="E189">
        <v>446</v>
      </c>
    </row>
    <row r="190" spans="1:5" x14ac:dyDescent="0.3">
      <c r="A190" t="s">
        <v>193</v>
      </c>
      <c r="B190">
        <v>919.1</v>
      </c>
      <c r="C190">
        <v>1080</v>
      </c>
      <c r="D190">
        <v>654</v>
      </c>
      <c r="E190">
        <v>479</v>
      </c>
    </row>
    <row r="191" spans="1:5" x14ac:dyDescent="0.3">
      <c r="A191" t="s">
        <v>194</v>
      </c>
      <c r="B191">
        <v>673.4</v>
      </c>
      <c r="C191">
        <v>825</v>
      </c>
      <c r="D191">
        <v>664</v>
      </c>
      <c r="E191">
        <v>570</v>
      </c>
    </row>
    <row r="192" spans="1:5" x14ac:dyDescent="0.3">
      <c r="A192" t="s">
        <v>195</v>
      </c>
      <c r="B192">
        <v>739.05</v>
      </c>
      <c r="C192">
        <v>1068</v>
      </c>
      <c r="D192">
        <v>708</v>
      </c>
      <c r="E192">
        <v>591</v>
      </c>
    </row>
    <row r="193" spans="1:5" x14ac:dyDescent="0.3">
      <c r="A193" t="s">
        <v>196</v>
      </c>
      <c r="B193">
        <v>997.1</v>
      </c>
      <c r="C193">
        <v>1283</v>
      </c>
      <c r="D193">
        <v>445</v>
      </c>
      <c r="E193">
        <v>355</v>
      </c>
    </row>
    <row r="194" spans="1:5" x14ac:dyDescent="0.3">
      <c r="A194" t="s">
        <v>197</v>
      </c>
      <c r="B194">
        <v>937.3</v>
      </c>
      <c r="C194">
        <v>1287</v>
      </c>
      <c r="D194">
        <v>509</v>
      </c>
      <c r="E194">
        <v>398</v>
      </c>
    </row>
    <row r="195" spans="1:5" x14ac:dyDescent="0.3">
      <c r="A195" t="s">
        <v>198</v>
      </c>
      <c r="B195">
        <v>1091.3499999999999</v>
      </c>
      <c r="C195">
        <v>1478</v>
      </c>
      <c r="D195">
        <v>510</v>
      </c>
      <c r="E195">
        <v>425</v>
      </c>
    </row>
    <row r="196" spans="1:5" x14ac:dyDescent="0.3">
      <c r="A196" t="s">
        <v>199</v>
      </c>
      <c r="B196">
        <v>1133.5999999999999</v>
      </c>
      <c r="C196">
        <v>1598</v>
      </c>
      <c r="D196">
        <v>571</v>
      </c>
      <c r="E196">
        <v>426</v>
      </c>
    </row>
    <row r="197" spans="1:5" x14ac:dyDescent="0.3">
      <c r="A197" t="s">
        <v>200</v>
      </c>
      <c r="B197">
        <v>1086.1500000000001</v>
      </c>
      <c r="C197">
        <v>1269</v>
      </c>
      <c r="D197">
        <v>651</v>
      </c>
      <c r="E197">
        <v>501</v>
      </c>
    </row>
    <row r="198" spans="1:5" x14ac:dyDescent="0.3">
      <c r="A198" t="s">
        <v>201</v>
      </c>
      <c r="B198">
        <v>694.85</v>
      </c>
      <c r="C198">
        <v>915</v>
      </c>
      <c r="D198">
        <v>691</v>
      </c>
      <c r="E198">
        <v>561</v>
      </c>
    </row>
    <row r="199" spans="1:5" x14ac:dyDescent="0.3">
      <c r="A199" t="s">
        <v>202</v>
      </c>
      <c r="B199">
        <v>843.7</v>
      </c>
      <c r="C199">
        <v>972</v>
      </c>
      <c r="D199">
        <v>727</v>
      </c>
      <c r="E199">
        <v>640</v>
      </c>
    </row>
    <row r="200" spans="1:5" x14ac:dyDescent="0.3">
      <c r="A200" t="s">
        <v>203</v>
      </c>
      <c r="B200">
        <v>1088.0999999999999</v>
      </c>
      <c r="C200">
        <v>1425</v>
      </c>
      <c r="D200">
        <v>525</v>
      </c>
      <c r="E200">
        <v>393</v>
      </c>
    </row>
    <row r="201" spans="1:5" x14ac:dyDescent="0.3">
      <c r="A201" t="s">
        <v>204</v>
      </c>
      <c r="B201">
        <v>1139.45</v>
      </c>
      <c r="C201">
        <v>1596</v>
      </c>
      <c r="D201">
        <v>612</v>
      </c>
      <c r="E201">
        <v>451</v>
      </c>
    </row>
    <row r="202" spans="1:5" x14ac:dyDescent="0.3">
      <c r="A202" t="s">
        <v>205</v>
      </c>
      <c r="B202">
        <v>1014</v>
      </c>
      <c r="C202">
        <v>1302</v>
      </c>
      <c r="D202">
        <v>550</v>
      </c>
      <c r="E202">
        <v>418</v>
      </c>
    </row>
    <row r="203" spans="1:5" x14ac:dyDescent="0.3">
      <c r="A203" t="s">
        <v>206</v>
      </c>
      <c r="B203">
        <v>609.70000000000005</v>
      </c>
      <c r="C203">
        <v>1077</v>
      </c>
      <c r="D203">
        <v>316</v>
      </c>
      <c r="E203">
        <v>174</v>
      </c>
    </row>
    <row r="204" spans="1:5" x14ac:dyDescent="0.3">
      <c r="A204" t="s">
        <v>207</v>
      </c>
      <c r="B204">
        <v>371.8</v>
      </c>
      <c r="C204">
        <v>839</v>
      </c>
      <c r="D204">
        <v>137</v>
      </c>
      <c r="E204">
        <v>88</v>
      </c>
    </row>
    <row r="205" spans="1:5" x14ac:dyDescent="0.3">
      <c r="A205" t="s">
        <v>208</v>
      </c>
      <c r="B205">
        <v>570.04999999999995</v>
      </c>
      <c r="C205">
        <v>939</v>
      </c>
      <c r="D205">
        <v>755</v>
      </c>
      <c r="E205">
        <v>594</v>
      </c>
    </row>
    <row r="206" spans="1:5" x14ac:dyDescent="0.3">
      <c r="A206" t="s">
        <v>209</v>
      </c>
      <c r="B206">
        <v>1011.4</v>
      </c>
      <c r="C206">
        <v>1068</v>
      </c>
      <c r="D206">
        <v>938</v>
      </c>
      <c r="E206">
        <v>846</v>
      </c>
    </row>
    <row r="207" spans="1:5" x14ac:dyDescent="0.3">
      <c r="A207" t="s">
        <v>210</v>
      </c>
      <c r="B207">
        <v>1270.0999999999999</v>
      </c>
      <c r="C207">
        <v>1938</v>
      </c>
      <c r="D207">
        <v>543</v>
      </c>
      <c r="E207">
        <v>408</v>
      </c>
    </row>
    <row r="208" spans="1:5" x14ac:dyDescent="0.3">
      <c r="A208" t="s">
        <v>211</v>
      </c>
      <c r="B208">
        <v>1418.95</v>
      </c>
      <c r="C208">
        <v>1883</v>
      </c>
      <c r="D208">
        <v>605</v>
      </c>
      <c r="E208">
        <v>506</v>
      </c>
    </row>
    <row r="209" spans="1:5" x14ac:dyDescent="0.3">
      <c r="A209" t="s">
        <v>212</v>
      </c>
      <c r="B209">
        <v>1342.9</v>
      </c>
      <c r="C209">
        <v>1968</v>
      </c>
      <c r="D209">
        <v>642</v>
      </c>
      <c r="E209">
        <v>540</v>
      </c>
    </row>
    <row r="210" spans="1:5" x14ac:dyDescent="0.3">
      <c r="A210" t="s">
        <v>213</v>
      </c>
      <c r="B210">
        <v>1251.9000000000001</v>
      </c>
      <c r="C210">
        <v>1821</v>
      </c>
      <c r="D210">
        <v>636</v>
      </c>
      <c r="E210">
        <v>537</v>
      </c>
    </row>
    <row r="211" spans="1:5" x14ac:dyDescent="0.3">
      <c r="A211" t="s">
        <v>214</v>
      </c>
      <c r="B211">
        <v>1136.8499999999999</v>
      </c>
      <c r="C211">
        <v>1662</v>
      </c>
      <c r="D211">
        <v>622</v>
      </c>
      <c r="E211">
        <v>551</v>
      </c>
    </row>
    <row r="212" spans="1:5" x14ac:dyDescent="0.3">
      <c r="A212" t="s">
        <v>215</v>
      </c>
      <c r="B212">
        <v>692.9</v>
      </c>
      <c r="C212">
        <v>944</v>
      </c>
      <c r="D212">
        <v>677</v>
      </c>
      <c r="E212">
        <v>591</v>
      </c>
    </row>
    <row r="213" spans="1:5" x14ac:dyDescent="0.3">
      <c r="A213" t="s">
        <v>216</v>
      </c>
      <c r="B213">
        <v>739.7</v>
      </c>
      <c r="C213">
        <v>863</v>
      </c>
      <c r="D213">
        <v>593</v>
      </c>
      <c r="E213">
        <v>627</v>
      </c>
    </row>
    <row r="214" spans="1:5" x14ac:dyDescent="0.3">
      <c r="A214" t="s">
        <v>217</v>
      </c>
      <c r="B214">
        <v>1038.7</v>
      </c>
      <c r="C214">
        <v>1948</v>
      </c>
      <c r="D214">
        <v>448</v>
      </c>
      <c r="E214">
        <v>251</v>
      </c>
    </row>
    <row r="215" spans="1:5" x14ac:dyDescent="0.3">
      <c r="A215" t="s">
        <v>218</v>
      </c>
      <c r="B215">
        <v>1417.65</v>
      </c>
      <c r="C215">
        <v>2230</v>
      </c>
      <c r="D215">
        <v>722</v>
      </c>
      <c r="E215">
        <v>500</v>
      </c>
    </row>
    <row r="216" spans="1:5" x14ac:dyDescent="0.3">
      <c r="A216" t="s">
        <v>219</v>
      </c>
      <c r="B216">
        <v>1539.2</v>
      </c>
      <c r="C216">
        <v>2197</v>
      </c>
      <c r="D216">
        <v>690</v>
      </c>
      <c r="E216">
        <v>582</v>
      </c>
    </row>
    <row r="217" spans="1:5" x14ac:dyDescent="0.3">
      <c r="A217" t="s">
        <v>220</v>
      </c>
      <c r="B217">
        <v>1415.7</v>
      </c>
      <c r="C217">
        <v>2249</v>
      </c>
      <c r="D217">
        <v>760</v>
      </c>
      <c r="E217">
        <v>497</v>
      </c>
    </row>
    <row r="218" spans="1:5" x14ac:dyDescent="0.3">
      <c r="A218" t="s">
        <v>221</v>
      </c>
      <c r="B218">
        <v>1344.85</v>
      </c>
      <c r="C218">
        <v>1798</v>
      </c>
      <c r="D218">
        <v>693</v>
      </c>
      <c r="E218">
        <v>626</v>
      </c>
    </row>
    <row r="219" spans="1:5" x14ac:dyDescent="0.3">
      <c r="A219" t="s">
        <v>222</v>
      </c>
      <c r="B219">
        <v>527.15</v>
      </c>
      <c r="C219">
        <v>1018</v>
      </c>
      <c r="D219">
        <v>411</v>
      </c>
      <c r="E219">
        <v>306</v>
      </c>
    </row>
    <row r="220" spans="1:5" x14ac:dyDescent="0.3">
      <c r="A220" t="s">
        <v>223</v>
      </c>
      <c r="B220">
        <v>999.05</v>
      </c>
      <c r="C220">
        <v>2084</v>
      </c>
      <c r="D220">
        <v>779</v>
      </c>
      <c r="E220">
        <v>748</v>
      </c>
    </row>
    <row r="221" spans="1:5" x14ac:dyDescent="0.3">
      <c r="A221" t="s">
        <v>224</v>
      </c>
      <c r="B221">
        <v>1301.3</v>
      </c>
      <c r="C221">
        <v>1946</v>
      </c>
      <c r="D221">
        <v>603</v>
      </c>
      <c r="E221">
        <v>385</v>
      </c>
    </row>
    <row r="222" spans="1:5" x14ac:dyDescent="0.3">
      <c r="A222" t="s">
        <v>225</v>
      </c>
      <c r="B222">
        <v>1396.85</v>
      </c>
      <c r="C222">
        <v>2044</v>
      </c>
      <c r="D222">
        <v>626</v>
      </c>
      <c r="E222">
        <v>443</v>
      </c>
    </row>
    <row r="223" spans="1:5" x14ac:dyDescent="0.3">
      <c r="A223" t="s">
        <v>226</v>
      </c>
      <c r="B223">
        <v>960.05</v>
      </c>
      <c r="C223">
        <v>1246</v>
      </c>
      <c r="D223">
        <v>804</v>
      </c>
      <c r="E223">
        <v>763</v>
      </c>
    </row>
    <row r="224" spans="1:5" x14ac:dyDescent="0.3">
      <c r="A224" t="s">
        <v>227</v>
      </c>
      <c r="B224">
        <v>1418.95</v>
      </c>
      <c r="C224">
        <v>2313</v>
      </c>
      <c r="D224">
        <v>606</v>
      </c>
      <c r="E224">
        <v>455</v>
      </c>
    </row>
    <row r="225" spans="1:5" x14ac:dyDescent="0.3">
      <c r="A225" t="s">
        <v>228</v>
      </c>
      <c r="B225">
        <v>1243.45</v>
      </c>
      <c r="C225">
        <v>1757</v>
      </c>
      <c r="D225">
        <v>747</v>
      </c>
      <c r="E225">
        <v>526</v>
      </c>
    </row>
    <row r="226" spans="1:5" x14ac:dyDescent="0.3">
      <c r="A226" t="s">
        <v>229</v>
      </c>
      <c r="B226">
        <v>293.14999999999998</v>
      </c>
      <c r="C226">
        <v>691</v>
      </c>
      <c r="D226">
        <v>329</v>
      </c>
      <c r="E226">
        <v>159</v>
      </c>
    </row>
    <row r="227" spans="1:5" x14ac:dyDescent="0.3">
      <c r="A227" t="s">
        <v>230</v>
      </c>
      <c r="B227">
        <v>900.9</v>
      </c>
      <c r="C227">
        <v>1317</v>
      </c>
      <c r="D227">
        <v>825</v>
      </c>
      <c r="E227">
        <v>684</v>
      </c>
    </row>
    <row r="228" spans="1:5" x14ac:dyDescent="0.3">
      <c r="A228" t="s">
        <v>231</v>
      </c>
      <c r="B228">
        <v>1360.45</v>
      </c>
      <c r="C228">
        <v>2054</v>
      </c>
      <c r="D228">
        <v>574</v>
      </c>
      <c r="E228">
        <v>401</v>
      </c>
    </row>
    <row r="229" spans="1:5" x14ac:dyDescent="0.3">
      <c r="A229" t="s">
        <v>232</v>
      </c>
      <c r="B229">
        <v>1565.2</v>
      </c>
      <c r="C229">
        <v>2172</v>
      </c>
      <c r="D229">
        <v>711</v>
      </c>
      <c r="E229">
        <v>510</v>
      </c>
    </row>
    <row r="230" spans="1:5" x14ac:dyDescent="0.3">
      <c r="A230" t="s">
        <v>233</v>
      </c>
      <c r="B230">
        <v>1582.1</v>
      </c>
      <c r="C230">
        <v>2071</v>
      </c>
      <c r="D230">
        <v>743</v>
      </c>
      <c r="E230">
        <v>559</v>
      </c>
    </row>
    <row r="231" spans="1:5" x14ac:dyDescent="0.3">
      <c r="A231" t="s">
        <v>234</v>
      </c>
      <c r="B231">
        <v>1491.1</v>
      </c>
      <c r="C231">
        <v>2138</v>
      </c>
      <c r="D231">
        <v>711</v>
      </c>
      <c r="E231">
        <v>490</v>
      </c>
    </row>
    <row r="232" spans="1:5" x14ac:dyDescent="0.3">
      <c r="A232" t="s">
        <v>235</v>
      </c>
      <c r="B232">
        <v>1368.25</v>
      </c>
      <c r="C232">
        <v>1947</v>
      </c>
      <c r="D232">
        <v>728</v>
      </c>
      <c r="E232">
        <v>581</v>
      </c>
    </row>
    <row r="233" spans="1:5" x14ac:dyDescent="0.3">
      <c r="A233" t="s">
        <v>236</v>
      </c>
      <c r="B233">
        <v>823.55</v>
      </c>
      <c r="C233">
        <v>1072</v>
      </c>
      <c r="D233">
        <v>698</v>
      </c>
      <c r="E233">
        <v>575</v>
      </c>
    </row>
    <row r="234" spans="1:5" x14ac:dyDescent="0.3">
      <c r="A234" t="s">
        <v>237</v>
      </c>
      <c r="B234">
        <v>900.25</v>
      </c>
      <c r="C234">
        <v>1113</v>
      </c>
      <c r="D234">
        <v>784</v>
      </c>
      <c r="E234">
        <v>717</v>
      </c>
    </row>
    <row r="235" spans="1:5" x14ac:dyDescent="0.3">
      <c r="A235" t="s">
        <v>238</v>
      </c>
      <c r="B235">
        <f>451.5*2</f>
        <v>903</v>
      </c>
      <c r="C235">
        <f>3389/2</f>
        <v>1694.5</v>
      </c>
      <c r="D235">
        <v>549</v>
      </c>
      <c r="E235">
        <v>420</v>
      </c>
    </row>
    <row r="236" spans="1:5" x14ac:dyDescent="0.3">
      <c r="A236" t="s">
        <v>239</v>
      </c>
      <c r="B236">
        <f>366*2</f>
        <v>732</v>
      </c>
      <c r="C236">
        <f>3548/2</f>
        <v>1774</v>
      </c>
      <c r="D236">
        <v>736</v>
      </c>
      <c r="E236">
        <v>565</v>
      </c>
    </row>
    <row r="237" spans="1:5" x14ac:dyDescent="0.3">
      <c r="A237" t="s">
        <v>240</v>
      </c>
      <c r="B237">
        <f>242*2</f>
        <v>484</v>
      </c>
      <c r="C237">
        <f>3381/2</f>
        <v>1690.5</v>
      </c>
      <c r="D237">
        <v>564</v>
      </c>
      <c r="E237">
        <v>434</v>
      </c>
    </row>
    <row r="238" spans="1:5" x14ac:dyDescent="0.3">
      <c r="A238" t="s">
        <v>241</v>
      </c>
      <c r="B238">
        <f>234*2</f>
        <v>468</v>
      </c>
      <c r="C238">
        <f>3796/2</f>
        <v>1898</v>
      </c>
      <c r="D238">
        <v>713</v>
      </c>
      <c r="E238">
        <v>472</v>
      </c>
    </row>
    <row r="239" spans="1:5" x14ac:dyDescent="0.3">
      <c r="A239" t="s">
        <v>242</v>
      </c>
      <c r="B239">
        <f>249*2</f>
        <v>498</v>
      </c>
      <c r="C239">
        <f>3241/2</f>
        <v>1620.5</v>
      </c>
      <c r="D239">
        <v>769</v>
      </c>
      <c r="E239">
        <v>571</v>
      </c>
    </row>
    <row r="240" spans="1:5" x14ac:dyDescent="0.3">
      <c r="A240" t="s">
        <v>243</v>
      </c>
      <c r="B240">
        <f>204.5*2</f>
        <v>409</v>
      </c>
      <c r="C240">
        <v>1612</v>
      </c>
      <c r="D240">
        <v>671</v>
      </c>
      <c r="E240">
        <v>578</v>
      </c>
    </row>
    <row r="241" spans="1:5" x14ac:dyDescent="0.3">
      <c r="A241" t="s">
        <v>244</v>
      </c>
      <c r="B241">
        <f>231.5*2</f>
        <v>463</v>
      </c>
      <c r="C241">
        <v>1927</v>
      </c>
      <c r="D241">
        <v>397</v>
      </c>
      <c r="E241">
        <v>686</v>
      </c>
    </row>
    <row r="242" spans="1:5" x14ac:dyDescent="0.3">
      <c r="A242" t="s">
        <v>245</v>
      </c>
      <c r="B242">
        <f>196*2</f>
        <v>392</v>
      </c>
      <c r="C242">
        <f>2995/2</f>
        <v>1497.5</v>
      </c>
      <c r="D242">
        <v>497</v>
      </c>
      <c r="E242">
        <v>326</v>
      </c>
    </row>
    <row r="243" spans="1:5" x14ac:dyDescent="0.3">
      <c r="A243" t="s">
        <v>246</v>
      </c>
      <c r="B243">
        <f>217.5*2</f>
        <v>435</v>
      </c>
      <c r="C243">
        <f>3255/2</f>
        <v>1627.5</v>
      </c>
      <c r="D243">
        <v>556</v>
      </c>
      <c r="E243">
        <v>413</v>
      </c>
    </row>
    <row r="244" spans="1:5" x14ac:dyDescent="0.3">
      <c r="A244" t="s">
        <v>247</v>
      </c>
      <c r="B244">
        <f>142.5*2</f>
        <v>285</v>
      </c>
      <c r="C244">
        <f>3062/2</f>
        <v>1531</v>
      </c>
      <c r="D244">
        <v>427</v>
      </c>
      <c r="E244">
        <v>274</v>
      </c>
    </row>
    <row r="245" spans="1:5" x14ac:dyDescent="0.3">
      <c r="A245" t="s">
        <v>248</v>
      </c>
      <c r="B245">
        <f>196.5*2</f>
        <v>393</v>
      </c>
      <c r="C245">
        <f>3932/2</f>
        <v>1966</v>
      </c>
      <c r="D245">
        <v>776</v>
      </c>
      <c r="E245">
        <v>495</v>
      </c>
    </row>
    <row r="246" spans="1:5" x14ac:dyDescent="0.3">
      <c r="A246" t="s">
        <v>249</v>
      </c>
      <c r="B246">
        <f>172.5*2</f>
        <v>345</v>
      </c>
      <c r="C246">
        <f>2894/2</f>
        <v>1447</v>
      </c>
      <c r="D246">
        <v>543</v>
      </c>
      <c r="E246">
        <v>479</v>
      </c>
    </row>
    <row r="247" spans="1:5" x14ac:dyDescent="0.3">
      <c r="A247" t="s">
        <v>250</v>
      </c>
      <c r="B247">
        <f>55.5*2</f>
        <v>111</v>
      </c>
      <c r="C247">
        <v>1062</v>
      </c>
      <c r="D247">
        <v>280</v>
      </c>
      <c r="E247">
        <v>104</v>
      </c>
    </row>
    <row r="248" spans="1:5" x14ac:dyDescent="0.3">
      <c r="A248" t="s">
        <v>251</v>
      </c>
      <c r="B248">
        <f>217.5*2</f>
        <v>435</v>
      </c>
      <c r="C248">
        <v>1830</v>
      </c>
      <c r="D248">
        <v>766</v>
      </c>
      <c r="E248">
        <v>639</v>
      </c>
    </row>
    <row r="249" spans="1:5" x14ac:dyDescent="0.3">
      <c r="A249" t="s">
        <v>252</v>
      </c>
      <c r="B249">
        <f>192*5</f>
        <v>960</v>
      </c>
      <c r="C249">
        <f>3248/2</f>
        <v>1624</v>
      </c>
      <c r="D249">
        <v>508</v>
      </c>
      <c r="E249">
        <v>397</v>
      </c>
    </row>
    <row r="250" spans="1:5" x14ac:dyDescent="0.3">
      <c r="A250" t="s">
        <v>253</v>
      </c>
      <c r="B250">
        <f>230*2</f>
        <v>460</v>
      </c>
      <c r="C250">
        <f>3679/2</f>
        <v>1839.5</v>
      </c>
      <c r="D250">
        <v>744</v>
      </c>
      <c r="E250">
        <v>612</v>
      </c>
    </row>
    <row r="251" spans="1:5" x14ac:dyDescent="0.3">
      <c r="A251" t="s">
        <v>254</v>
      </c>
      <c r="B251">
        <f>243*2</f>
        <v>486</v>
      </c>
      <c r="C251">
        <f>3893/2</f>
        <v>1946.5</v>
      </c>
      <c r="D251">
        <v>691</v>
      </c>
      <c r="E251">
        <v>521</v>
      </c>
    </row>
    <row r="252" spans="1:5" x14ac:dyDescent="0.3">
      <c r="A252" t="s">
        <v>255</v>
      </c>
      <c r="B252">
        <f>171*2</f>
        <v>342</v>
      </c>
      <c r="C252">
        <f>3803/2</f>
        <v>1901.5</v>
      </c>
      <c r="D252">
        <v>704</v>
      </c>
      <c r="E252">
        <v>497</v>
      </c>
    </row>
    <row r="253" spans="1:5" x14ac:dyDescent="0.3">
      <c r="A253" t="s">
        <v>256</v>
      </c>
      <c r="B253">
        <f>60*2</f>
        <v>120</v>
      </c>
      <c r="C253">
        <v>2129</v>
      </c>
      <c r="D253">
        <v>310</v>
      </c>
      <c r="E253">
        <v>143</v>
      </c>
    </row>
    <row r="254" spans="1:5" x14ac:dyDescent="0.3">
      <c r="A254" t="s">
        <v>257</v>
      </c>
      <c r="B254">
        <f>2*185</f>
        <v>370</v>
      </c>
      <c r="C254">
        <v>2049</v>
      </c>
      <c r="D254">
        <v>652</v>
      </c>
      <c r="E254">
        <v>610</v>
      </c>
    </row>
    <row r="255" spans="1:5" x14ac:dyDescent="0.3">
      <c r="A255" t="s">
        <v>258</v>
      </c>
      <c r="B255">
        <f>2*198</f>
        <v>396</v>
      </c>
      <c r="C255">
        <v>2105</v>
      </c>
      <c r="D255">
        <v>712</v>
      </c>
      <c r="E255">
        <v>742</v>
      </c>
    </row>
    <row r="256" spans="1:5" x14ac:dyDescent="0.3">
      <c r="A256" t="s">
        <v>259</v>
      </c>
      <c r="B256">
        <f>2*180.5</f>
        <v>361</v>
      </c>
      <c r="C256">
        <f>3383/2</f>
        <v>1691.5</v>
      </c>
      <c r="D256">
        <v>549</v>
      </c>
      <c r="E256">
        <v>409</v>
      </c>
    </row>
    <row r="257" spans="1:5" x14ac:dyDescent="0.3">
      <c r="A257" t="s">
        <v>260</v>
      </c>
      <c r="B257">
        <f>2*227.5</f>
        <v>455</v>
      </c>
      <c r="C257">
        <f>4139/2</f>
        <v>2069.5</v>
      </c>
      <c r="D257">
        <v>718</v>
      </c>
      <c r="E257">
        <v>588</v>
      </c>
    </row>
    <row r="258" spans="1:5" x14ac:dyDescent="0.3">
      <c r="A258" t="s">
        <v>261</v>
      </c>
      <c r="B258">
        <f>2*206</f>
        <v>412</v>
      </c>
      <c r="C258">
        <f>3659/2</f>
        <v>1829.5</v>
      </c>
      <c r="D258">
        <v>692</v>
      </c>
      <c r="E258">
        <v>529</v>
      </c>
    </row>
    <row r="259" spans="1:5" x14ac:dyDescent="0.3">
      <c r="A259" t="s">
        <v>262</v>
      </c>
      <c r="B259">
        <f>2*186</f>
        <v>372</v>
      </c>
      <c r="C259">
        <f>3560/2</f>
        <v>1780</v>
      </c>
      <c r="D259">
        <v>612</v>
      </c>
      <c r="E259">
        <v>544</v>
      </c>
    </row>
    <row r="260" spans="1:5" x14ac:dyDescent="0.3">
      <c r="A260" t="s">
        <v>263</v>
      </c>
      <c r="B260">
        <f>2*87</f>
        <v>174</v>
      </c>
      <c r="C260">
        <f>2619/2</f>
        <v>1309.5</v>
      </c>
      <c r="D260">
        <v>314</v>
      </c>
      <c r="E260">
        <v>192</v>
      </c>
    </row>
    <row r="261" spans="1:5" x14ac:dyDescent="0.3">
      <c r="A261" t="s">
        <v>264</v>
      </c>
      <c r="B261">
        <f>2*126</f>
        <v>252</v>
      </c>
      <c r="C261">
        <v>1732</v>
      </c>
      <c r="D261">
        <v>505</v>
      </c>
      <c r="E261">
        <v>565</v>
      </c>
    </row>
    <row r="262" spans="1:5" x14ac:dyDescent="0.3">
      <c r="A262" t="s">
        <v>265</v>
      </c>
      <c r="B262">
        <f>2*222.5</f>
        <v>445</v>
      </c>
      <c r="C262">
        <v>2169</v>
      </c>
      <c r="D262">
        <v>743</v>
      </c>
      <c r="E262">
        <v>772</v>
      </c>
    </row>
    <row r="263" spans="1:5" x14ac:dyDescent="0.3">
      <c r="A263" t="s">
        <v>266</v>
      </c>
      <c r="B263">
        <f>2*201.5</f>
        <v>403</v>
      </c>
      <c r="C263">
        <f>3496/2</f>
        <v>1748</v>
      </c>
      <c r="D263">
        <v>433</v>
      </c>
      <c r="E263">
        <v>371</v>
      </c>
    </row>
    <row r="264" spans="1:5" x14ac:dyDescent="0.3">
      <c r="A264" t="s">
        <v>267</v>
      </c>
      <c r="B264">
        <f>2*222</f>
        <v>444</v>
      </c>
      <c r="C264">
        <f>3632/2</f>
        <v>1816</v>
      </c>
      <c r="D264">
        <v>598</v>
      </c>
      <c r="E264">
        <v>497</v>
      </c>
    </row>
    <row r="265" spans="1:5" x14ac:dyDescent="0.3">
      <c r="A265" t="s">
        <v>268</v>
      </c>
      <c r="B265">
        <f>2*128</f>
        <v>256</v>
      </c>
      <c r="C265">
        <f>2833/2</f>
        <v>1416.5</v>
      </c>
      <c r="D265">
        <v>510</v>
      </c>
      <c r="E265">
        <v>476</v>
      </c>
    </row>
    <row r="266" spans="1:5" x14ac:dyDescent="0.3">
      <c r="A266" t="s">
        <v>269</v>
      </c>
      <c r="B266">
        <f>2*29</f>
        <v>58</v>
      </c>
      <c r="C266">
        <v>919</v>
      </c>
      <c r="D266">
        <v>269</v>
      </c>
      <c r="E266">
        <v>118</v>
      </c>
    </row>
    <row r="267" spans="1:5" x14ac:dyDescent="0.3">
      <c r="A267" t="s">
        <v>270</v>
      </c>
      <c r="B267">
        <f>2*96.5</f>
        <v>193</v>
      </c>
      <c r="C267">
        <v>2512</v>
      </c>
      <c r="D267">
        <v>520</v>
      </c>
      <c r="E267">
        <v>352</v>
      </c>
    </row>
    <row r="268" spans="1:5" x14ac:dyDescent="0.3">
      <c r="A268" t="s">
        <v>271</v>
      </c>
      <c r="B268">
        <f>2*165</f>
        <v>330</v>
      </c>
      <c r="C268">
        <v>1683</v>
      </c>
      <c r="D268">
        <v>668</v>
      </c>
      <c r="E268">
        <v>653</v>
      </c>
    </row>
    <row r="269" spans="1:5" x14ac:dyDescent="0.3">
      <c r="A269" t="s">
        <v>272</v>
      </c>
      <c r="B269">
        <f>2*224</f>
        <v>448</v>
      </c>
      <c r="C269">
        <v>1867</v>
      </c>
      <c r="D269">
        <v>708</v>
      </c>
      <c r="E269">
        <v>777</v>
      </c>
    </row>
    <row r="270" spans="1:5" x14ac:dyDescent="0.3">
      <c r="A270" t="s">
        <v>273</v>
      </c>
      <c r="B270">
        <f>2*159.5</f>
        <v>319</v>
      </c>
      <c r="C270">
        <v>2567</v>
      </c>
      <c r="D270">
        <v>494</v>
      </c>
      <c r="E270">
        <v>373</v>
      </c>
    </row>
    <row r="271" spans="1:5" x14ac:dyDescent="0.3">
      <c r="A271" t="s">
        <v>274</v>
      </c>
      <c r="B271">
        <f>2*198.5</f>
        <v>397</v>
      </c>
      <c r="C271">
        <v>2442</v>
      </c>
      <c r="D271">
        <v>578</v>
      </c>
      <c r="E271">
        <v>514</v>
      </c>
    </row>
    <row r="272" spans="1:5" x14ac:dyDescent="0.3">
      <c r="A272" t="s">
        <v>275</v>
      </c>
      <c r="B272">
        <f>2*166.5</f>
        <v>333</v>
      </c>
      <c r="C272">
        <v>2425</v>
      </c>
      <c r="D272">
        <v>467</v>
      </c>
      <c r="E272">
        <v>369</v>
      </c>
    </row>
    <row r="273" spans="1:5" x14ac:dyDescent="0.3">
      <c r="A273" t="s">
        <v>276</v>
      </c>
      <c r="B273">
        <f>2*153.5</f>
        <v>307</v>
      </c>
      <c r="C273">
        <v>2527</v>
      </c>
      <c r="D273">
        <v>753</v>
      </c>
      <c r="E273">
        <v>444</v>
      </c>
    </row>
    <row r="274" spans="1:5" x14ac:dyDescent="0.3">
      <c r="A274" t="s">
        <v>277</v>
      </c>
      <c r="B274">
        <f>2*168</f>
        <v>336</v>
      </c>
      <c r="C274">
        <v>2443</v>
      </c>
      <c r="D274">
        <v>716</v>
      </c>
      <c r="E274">
        <v>617</v>
      </c>
    </row>
    <row r="275" spans="1:5" x14ac:dyDescent="0.3">
      <c r="A275" t="s">
        <v>278</v>
      </c>
      <c r="B275">
        <f>2*141</f>
        <v>282</v>
      </c>
      <c r="C275">
        <v>1402</v>
      </c>
      <c r="D275">
        <v>643</v>
      </c>
      <c r="E275">
        <v>696</v>
      </c>
    </row>
    <row r="276" spans="1:5" x14ac:dyDescent="0.3">
      <c r="A276" t="s">
        <v>279</v>
      </c>
      <c r="B276">
        <f>2*33.5</f>
        <v>67</v>
      </c>
      <c r="C276">
        <v>844</v>
      </c>
      <c r="D276">
        <v>333</v>
      </c>
      <c r="E276">
        <v>213</v>
      </c>
    </row>
    <row r="277" spans="1:5" x14ac:dyDescent="0.3">
      <c r="A277" t="s">
        <v>280</v>
      </c>
      <c r="B277">
        <f>2*254</f>
        <v>508</v>
      </c>
      <c r="C277">
        <v>2452</v>
      </c>
      <c r="D277">
        <v>875</v>
      </c>
      <c r="E277">
        <v>803</v>
      </c>
    </row>
    <row r="278" spans="1:5" x14ac:dyDescent="0.3">
      <c r="A278" t="s">
        <v>281</v>
      </c>
      <c r="B278">
        <f>2*285</f>
        <v>570</v>
      </c>
      <c r="C278">
        <v>2102</v>
      </c>
      <c r="D278">
        <v>718</v>
      </c>
      <c r="E278">
        <v>528</v>
      </c>
    </row>
    <row r="279" spans="1:5" x14ac:dyDescent="0.3">
      <c r="A279" t="s">
        <v>282</v>
      </c>
      <c r="B279">
        <f>2*230</f>
        <v>460</v>
      </c>
      <c r="C279">
        <f>3511/2</f>
        <v>1755.5</v>
      </c>
      <c r="D279">
        <v>788</v>
      </c>
      <c r="E279">
        <v>675</v>
      </c>
    </row>
    <row r="280" spans="1:5" x14ac:dyDescent="0.3">
      <c r="A280" t="s">
        <v>283</v>
      </c>
      <c r="B280">
        <f>2*170</f>
        <v>340</v>
      </c>
      <c r="C280">
        <f>3377/2</f>
        <v>1688.5</v>
      </c>
      <c r="D280">
        <v>608</v>
      </c>
      <c r="E280">
        <v>386</v>
      </c>
    </row>
    <row r="281" spans="1:5" x14ac:dyDescent="0.3">
      <c r="A281" t="s">
        <v>284</v>
      </c>
      <c r="B281">
        <f>2*169</f>
        <v>338</v>
      </c>
      <c r="C281">
        <f>3185/2</f>
        <v>1592.5</v>
      </c>
      <c r="D281">
        <v>825</v>
      </c>
      <c r="E281">
        <v>675</v>
      </c>
    </row>
    <row r="282" spans="1:5" x14ac:dyDescent="0.3">
      <c r="A282" t="s">
        <v>285</v>
      </c>
      <c r="B282">
        <f>2*177.5</f>
        <v>355</v>
      </c>
      <c r="C282">
        <v>1874</v>
      </c>
      <c r="D282">
        <v>837</v>
      </c>
      <c r="E282">
        <v>664</v>
      </c>
    </row>
    <row r="283" spans="1:5" x14ac:dyDescent="0.3">
      <c r="A283" t="s">
        <v>286</v>
      </c>
      <c r="B283">
        <f>2*87</f>
        <v>174</v>
      </c>
      <c r="C283">
        <v>1554</v>
      </c>
      <c r="D283">
        <v>465</v>
      </c>
      <c r="E283">
        <v>307</v>
      </c>
    </row>
    <row r="284" spans="1:5" x14ac:dyDescent="0.3">
      <c r="A284" t="s">
        <v>287</v>
      </c>
      <c r="B284">
        <f>2*158.5</f>
        <v>317</v>
      </c>
      <c r="C284">
        <f>3043/2</f>
        <v>1521.5</v>
      </c>
      <c r="D284">
        <v>606</v>
      </c>
      <c r="E284">
        <v>468</v>
      </c>
    </row>
    <row r="285" spans="1:5" x14ac:dyDescent="0.3">
      <c r="A285" t="s">
        <v>288</v>
      </c>
      <c r="B285">
        <f>2*211</f>
        <v>422</v>
      </c>
      <c r="C285">
        <f>3746/2</f>
        <v>1873</v>
      </c>
      <c r="D285">
        <v>795</v>
      </c>
      <c r="E285">
        <v>686</v>
      </c>
    </row>
    <row r="286" spans="1:5" x14ac:dyDescent="0.3">
      <c r="A286" t="s">
        <v>289</v>
      </c>
      <c r="B286">
        <f>2*206</f>
        <v>412</v>
      </c>
      <c r="C286">
        <f>3554/2</f>
        <v>1777</v>
      </c>
      <c r="D286">
        <v>750</v>
      </c>
      <c r="E286">
        <v>655</v>
      </c>
    </row>
    <row r="287" spans="1:5" x14ac:dyDescent="0.3">
      <c r="A287" t="s">
        <v>290</v>
      </c>
      <c r="B287">
        <f>2*194</f>
        <v>388</v>
      </c>
      <c r="C287">
        <f>3690/2</f>
        <v>1845</v>
      </c>
      <c r="D287">
        <v>903</v>
      </c>
      <c r="E287">
        <v>608</v>
      </c>
    </row>
    <row r="288" spans="1:5" x14ac:dyDescent="0.3">
      <c r="A288" t="s">
        <v>291</v>
      </c>
      <c r="B288">
        <f>2*184</f>
        <v>368</v>
      </c>
      <c r="C288">
        <f>3196/2</f>
        <v>1598</v>
      </c>
      <c r="D288">
        <v>633</v>
      </c>
      <c r="E288">
        <v>693</v>
      </c>
    </row>
    <row r="289" spans="1:5" x14ac:dyDescent="0.3">
      <c r="A289" t="s">
        <v>292</v>
      </c>
      <c r="B289">
        <f>2*173</f>
        <v>346</v>
      </c>
      <c r="C289">
        <v>2286</v>
      </c>
      <c r="D289">
        <v>691</v>
      </c>
      <c r="E289">
        <v>732</v>
      </c>
    </row>
    <row r="290" spans="1:5" x14ac:dyDescent="0.3">
      <c r="A290" t="s">
        <v>293</v>
      </c>
      <c r="B290">
        <f>2*202</f>
        <v>404</v>
      </c>
      <c r="C290">
        <v>2189</v>
      </c>
      <c r="D290">
        <v>689</v>
      </c>
      <c r="E290">
        <v>886</v>
      </c>
    </row>
    <row r="291" spans="1:5" x14ac:dyDescent="0.3">
      <c r="A291" t="s">
        <v>294</v>
      </c>
      <c r="B291">
        <f>2*145</f>
        <v>290</v>
      </c>
      <c r="C291">
        <f>3229/2</f>
        <v>1614.5</v>
      </c>
      <c r="D291">
        <v>593</v>
      </c>
      <c r="E291">
        <v>447</v>
      </c>
    </row>
    <row r="292" spans="1:5" x14ac:dyDescent="0.3">
      <c r="A292" t="s">
        <v>295</v>
      </c>
      <c r="B292">
        <f>2*204</f>
        <v>408</v>
      </c>
      <c r="C292">
        <f>3681/2</f>
        <v>1840.5</v>
      </c>
      <c r="D292">
        <v>787</v>
      </c>
      <c r="E292">
        <v>607</v>
      </c>
    </row>
    <row r="293" spans="1:5" x14ac:dyDescent="0.3">
      <c r="A293" t="s">
        <v>296</v>
      </c>
      <c r="B293">
        <f>2*105</f>
        <v>210</v>
      </c>
      <c r="C293">
        <v>2681</v>
      </c>
      <c r="D293">
        <v>470</v>
      </c>
      <c r="E293">
        <v>408</v>
      </c>
    </row>
    <row r="294" spans="1:5" x14ac:dyDescent="0.3">
      <c r="A294" t="s">
        <v>297</v>
      </c>
      <c r="B294">
        <f>2*91</f>
        <v>182</v>
      </c>
      <c r="C294">
        <f>3105/2</f>
        <v>1552.5</v>
      </c>
      <c r="D294">
        <v>414</v>
      </c>
      <c r="E294">
        <v>252</v>
      </c>
    </row>
    <row r="295" spans="1:5" x14ac:dyDescent="0.3">
      <c r="A295" t="s">
        <v>298</v>
      </c>
      <c r="B295">
        <f>2*66.5</f>
        <v>133</v>
      </c>
      <c r="C295">
        <v>2178</v>
      </c>
      <c r="D295">
        <v>322</v>
      </c>
      <c r="E295">
        <v>330</v>
      </c>
    </row>
    <row r="296" spans="1:5" x14ac:dyDescent="0.3">
      <c r="A296" t="s">
        <v>299</v>
      </c>
      <c r="B296">
        <f>2*26</f>
        <v>52</v>
      </c>
      <c r="C296">
        <v>894</v>
      </c>
      <c r="D296">
        <v>197</v>
      </c>
      <c r="E296">
        <v>120</v>
      </c>
    </row>
    <row r="297" spans="1:5" x14ac:dyDescent="0.3">
      <c r="A297" t="s">
        <v>300</v>
      </c>
      <c r="B297">
        <f>2*10</f>
        <v>20</v>
      </c>
      <c r="C297">
        <v>703</v>
      </c>
      <c r="D297">
        <v>152</v>
      </c>
      <c r="E297">
        <v>42</v>
      </c>
    </row>
    <row r="298" spans="1:5" x14ac:dyDescent="0.3">
      <c r="A298" t="s">
        <v>301</v>
      </c>
      <c r="B298">
        <f>2*175.5</f>
        <v>351</v>
      </c>
      <c r="C298">
        <f>3449/2</f>
        <v>1724.5</v>
      </c>
      <c r="D298">
        <v>563</v>
      </c>
      <c r="E298">
        <v>511</v>
      </c>
    </row>
    <row r="299" spans="1:5" x14ac:dyDescent="0.3">
      <c r="A299" t="s">
        <v>302</v>
      </c>
      <c r="B299">
        <f>2*114.5</f>
        <v>229</v>
      </c>
      <c r="C299">
        <v>2506</v>
      </c>
      <c r="D299">
        <v>387</v>
      </c>
      <c r="E299">
        <v>242</v>
      </c>
    </row>
    <row r="300" spans="1:5" x14ac:dyDescent="0.3">
      <c r="A300" t="s">
        <v>303</v>
      </c>
      <c r="B300">
        <f>2*229.5</f>
        <v>459</v>
      </c>
      <c r="C300">
        <f>3435/2</f>
        <v>1717.5</v>
      </c>
      <c r="D300">
        <v>647</v>
      </c>
      <c r="E300">
        <v>727</v>
      </c>
    </row>
    <row r="301" spans="1:5" x14ac:dyDescent="0.3">
      <c r="A301" t="s">
        <v>304</v>
      </c>
      <c r="B301">
        <f>2*150.5</f>
        <v>301</v>
      </c>
      <c r="C301">
        <f>3156/2</f>
        <v>1578</v>
      </c>
      <c r="D301">
        <v>593</v>
      </c>
      <c r="E301">
        <v>559</v>
      </c>
    </row>
    <row r="302" spans="1:5" x14ac:dyDescent="0.3">
      <c r="A302" t="s">
        <v>305</v>
      </c>
      <c r="B302">
        <v>170</v>
      </c>
      <c r="C302">
        <v>2595</v>
      </c>
      <c r="D302">
        <v>508</v>
      </c>
      <c r="E302">
        <v>668</v>
      </c>
    </row>
    <row r="303" spans="1:5" x14ac:dyDescent="0.3">
      <c r="A303" t="s">
        <v>306</v>
      </c>
      <c r="B303">
        <f>2*129</f>
        <v>258</v>
      </c>
      <c r="C303">
        <v>1725</v>
      </c>
      <c r="D303">
        <v>517</v>
      </c>
      <c r="E303">
        <v>686</v>
      </c>
    </row>
    <row r="304" spans="1:5" x14ac:dyDescent="0.3">
      <c r="A304" t="s">
        <v>307</v>
      </c>
      <c r="B304">
        <f>2*157</f>
        <v>314</v>
      </c>
      <c r="C304">
        <v>1971</v>
      </c>
      <c r="D304">
        <v>485</v>
      </c>
      <c r="E304">
        <v>611</v>
      </c>
    </row>
    <row r="305" spans="1:5" x14ac:dyDescent="0.3">
      <c r="A305" t="s">
        <v>308</v>
      </c>
      <c r="B305">
        <f>2*162</f>
        <v>324</v>
      </c>
      <c r="C305">
        <f>2786/2</f>
        <v>1393</v>
      </c>
      <c r="D305">
        <v>544</v>
      </c>
      <c r="E305">
        <v>470</v>
      </c>
    </row>
    <row r="306" spans="1:5" x14ac:dyDescent="0.3">
      <c r="A306" t="s">
        <v>309</v>
      </c>
      <c r="B306">
        <f>2*71.5</f>
        <v>143</v>
      </c>
      <c r="C306">
        <v>2004</v>
      </c>
      <c r="D306">
        <v>314</v>
      </c>
      <c r="E306">
        <v>135</v>
      </c>
    </row>
    <row r="307" spans="1:5" x14ac:dyDescent="0.3">
      <c r="A307" t="s">
        <v>310</v>
      </c>
      <c r="B307">
        <f>2*186</f>
        <v>372</v>
      </c>
      <c r="C307">
        <f>2998/2</f>
        <v>1499</v>
      </c>
      <c r="D307">
        <v>786</v>
      </c>
      <c r="E307">
        <v>588</v>
      </c>
    </row>
    <row r="308" spans="1:5" x14ac:dyDescent="0.3">
      <c r="A308" t="s">
        <v>311</v>
      </c>
      <c r="B308">
        <f>2*179.5</f>
        <v>359</v>
      </c>
      <c r="C308">
        <f>3049/2</f>
        <v>1524.5</v>
      </c>
      <c r="D308">
        <v>808</v>
      </c>
      <c r="E308">
        <v>651</v>
      </c>
    </row>
    <row r="309" spans="1:5" x14ac:dyDescent="0.3">
      <c r="A309" t="s">
        <v>312</v>
      </c>
      <c r="B309">
        <f>2*160</f>
        <v>320</v>
      </c>
      <c r="C309">
        <f>2896/2</f>
        <v>1448</v>
      </c>
      <c r="D309">
        <v>880</v>
      </c>
      <c r="E309">
        <v>716</v>
      </c>
    </row>
    <row r="310" spans="1:5" x14ac:dyDescent="0.3">
      <c r="A310" t="s">
        <v>313</v>
      </c>
      <c r="B310">
        <f>2*140</f>
        <v>280</v>
      </c>
      <c r="C310">
        <v>2157</v>
      </c>
      <c r="D310">
        <v>744</v>
      </c>
      <c r="E310">
        <v>670</v>
      </c>
    </row>
    <row r="311" spans="1:5" x14ac:dyDescent="0.3">
      <c r="A311" t="s">
        <v>314</v>
      </c>
      <c r="B311">
        <f>2*169</f>
        <v>338</v>
      </c>
      <c r="C311">
        <v>2191</v>
      </c>
      <c r="D311">
        <v>737</v>
      </c>
      <c r="E311">
        <v>760</v>
      </c>
    </row>
    <row r="312" spans="1:5" x14ac:dyDescent="0.3">
      <c r="A312" t="s">
        <v>315</v>
      </c>
      <c r="B312">
        <f>2*162</f>
        <v>324</v>
      </c>
      <c r="C312">
        <f>3101/2</f>
        <v>1550.5</v>
      </c>
      <c r="D312">
        <v>593</v>
      </c>
      <c r="E312">
        <v>477</v>
      </c>
    </row>
    <row r="313" spans="1:5" x14ac:dyDescent="0.3">
      <c r="A313" t="s">
        <v>316</v>
      </c>
      <c r="B313">
        <f>2*199.5</f>
        <v>399</v>
      </c>
      <c r="C313">
        <f>3458/2</f>
        <v>1729</v>
      </c>
      <c r="D313">
        <v>790</v>
      </c>
      <c r="E313">
        <v>591</v>
      </c>
    </row>
    <row r="314" spans="1:5" x14ac:dyDescent="0.3">
      <c r="A314" t="s">
        <v>317</v>
      </c>
      <c r="B314">
        <f>2*219</f>
        <v>438</v>
      </c>
      <c r="C314">
        <f>3248/2</f>
        <v>1624</v>
      </c>
      <c r="D314">
        <v>790</v>
      </c>
      <c r="E314">
        <v>708</v>
      </c>
    </row>
    <row r="315" spans="1:5" x14ac:dyDescent="0.3">
      <c r="A315" t="s">
        <v>318</v>
      </c>
      <c r="B315">
        <f>2*167.5</f>
        <v>335</v>
      </c>
      <c r="C315">
        <f>3335/2</f>
        <v>1667.5</v>
      </c>
      <c r="D315">
        <v>713</v>
      </c>
      <c r="E315">
        <v>553</v>
      </c>
    </row>
    <row r="316" spans="1:5" x14ac:dyDescent="0.3">
      <c r="A316" t="s">
        <v>319</v>
      </c>
      <c r="B316">
        <f>2*187</f>
        <v>374</v>
      </c>
      <c r="C316">
        <f>2885/2</f>
        <v>1442.5</v>
      </c>
      <c r="D316">
        <v>847</v>
      </c>
      <c r="E316">
        <v>738</v>
      </c>
    </row>
    <row r="317" spans="1:5" x14ac:dyDescent="0.3">
      <c r="A317" t="s">
        <v>320</v>
      </c>
      <c r="B317">
        <f>2*164.5</f>
        <v>329</v>
      </c>
      <c r="C317">
        <v>1998</v>
      </c>
      <c r="D317">
        <v>704</v>
      </c>
      <c r="E317">
        <v>620</v>
      </c>
    </row>
    <row r="318" spans="1:5" x14ac:dyDescent="0.3">
      <c r="A318" t="s">
        <v>321</v>
      </c>
      <c r="B318">
        <f>2*161</f>
        <v>322</v>
      </c>
      <c r="C318">
        <v>1738</v>
      </c>
      <c r="D318">
        <v>662</v>
      </c>
      <c r="E318">
        <v>656</v>
      </c>
    </row>
    <row r="319" spans="1:5" x14ac:dyDescent="0.3">
      <c r="A319" t="s">
        <v>322</v>
      </c>
      <c r="B319">
        <f>2*163.5</f>
        <v>327</v>
      </c>
      <c r="C319">
        <f>2848/2</f>
        <v>1424</v>
      </c>
      <c r="D319">
        <v>501</v>
      </c>
      <c r="E319">
        <v>427</v>
      </c>
    </row>
    <row r="320" spans="1:5" x14ac:dyDescent="0.3">
      <c r="A320" t="s">
        <v>323</v>
      </c>
      <c r="B320">
        <f>2*204</f>
        <v>408</v>
      </c>
      <c r="C320">
        <v>2499</v>
      </c>
      <c r="D320">
        <v>530</v>
      </c>
      <c r="E320">
        <v>580</v>
      </c>
    </row>
    <row r="321" spans="1:5" x14ac:dyDescent="0.3">
      <c r="A321" t="s">
        <v>324</v>
      </c>
      <c r="B321">
        <f>2*227</f>
        <v>454</v>
      </c>
      <c r="C321">
        <v>2489</v>
      </c>
      <c r="D321">
        <v>665</v>
      </c>
      <c r="E321">
        <v>635</v>
      </c>
    </row>
    <row r="322" spans="1:5" x14ac:dyDescent="0.3">
      <c r="A322" t="s">
        <v>325</v>
      </c>
      <c r="B322">
        <f>2*169</f>
        <v>338</v>
      </c>
      <c r="C322">
        <f>3029/2</f>
        <v>1514.5</v>
      </c>
      <c r="D322">
        <v>745</v>
      </c>
      <c r="E322">
        <v>603</v>
      </c>
    </row>
    <row r="323" spans="1:5" x14ac:dyDescent="0.3">
      <c r="A323" t="s">
        <v>326</v>
      </c>
      <c r="B323">
        <f>2*169</f>
        <v>338</v>
      </c>
      <c r="C323">
        <v>2469</v>
      </c>
      <c r="D323">
        <v>755</v>
      </c>
      <c r="E323">
        <v>697</v>
      </c>
    </row>
    <row r="324" spans="1:5" x14ac:dyDescent="0.3">
      <c r="A324" t="s">
        <v>327</v>
      </c>
      <c r="B324">
        <f>2*129</f>
        <v>258</v>
      </c>
      <c r="C324">
        <v>1445</v>
      </c>
      <c r="D324">
        <v>637</v>
      </c>
      <c r="E324">
        <v>669</v>
      </c>
    </row>
    <row r="325" spans="1:5" x14ac:dyDescent="0.3">
      <c r="A325" t="s">
        <v>328</v>
      </c>
      <c r="B325">
        <f>2*174.5</f>
        <v>349</v>
      </c>
      <c r="C325">
        <v>1275</v>
      </c>
      <c r="D325">
        <v>351</v>
      </c>
      <c r="E325">
        <v>634</v>
      </c>
    </row>
    <row r="326" spans="1:5" x14ac:dyDescent="0.3">
      <c r="A326" t="s">
        <v>329</v>
      </c>
      <c r="B326">
        <f>2*129.5</f>
        <v>259</v>
      </c>
      <c r="C326">
        <v>2160</v>
      </c>
      <c r="D326">
        <v>286</v>
      </c>
      <c r="E326">
        <v>434</v>
      </c>
    </row>
    <row r="327" spans="1:5" x14ac:dyDescent="0.3">
      <c r="A327" t="s">
        <v>330</v>
      </c>
      <c r="B327">
        <f>2*174</f>
        <v>348</v>
      </c>
      <c r="C327">
        <v>2513</v>
      </c>
      <c r="D327">
        <v>592</v>
      </c>
      <c r="E327">
        <v>637</v>
      </c>
    </row>
    <row r="328" spans="1:5" x14ac:dyDescent="0.3">
      <c r="A328" t="s">
        <v>331</v>
      </c>
      <c r="B328">
        <f>2*185</f>
        <v>370</v>
      </c>
      <c r="C328">
        <v>2737</v>
      </c>
      <c r="D328">
        <v>667</v>
      </c>
      <c r="E328">
        <v>687</v>
      </c>
    </row>
    <row r="329" spans="1:5" x14ac:dyDescent="0.3">
      <c r="A329" t="s">
        <v>332</v>
      </c>
      <c r="B329">
        <f>2*154</f>
        <v>308</v>
      </c>
      <c r="C329">
        <v>2669</v>
      </c>
      <c r="D329">
        <v>588</v>
      </c>
      <c r="E329">
        <v>605</v>
      </c>
    </row>
    <row r="330" spans="1:5" x14ac:dyDescent="0.3">
      <c r="A330" t="s">
        <v>333</v>
      </c>
      <c r="B330">
        <f>2*123.5</f>
        <v>247</v>
      </c>
      <c r="C330">
        <v>2034</v>
      </c>
      <c r="D330">
        <v>659</v>
      </c>
      <c r="E330">
        <v>672</v>
      </c>
    </row>
    <row r="331" spans="1:5" x14ac:dyDescent="0.3">
      <c r="A331" t="s">
        <v>334</v>
      </c>
      <c r="B331">
        <f>2*130.5</f>
        <v>261</v>
      </c>
      <c r="C331">
        <v>1161</v>
      </c>
      <c r="D331">
        <v>527</v>
      </c>
      <c r="E331">
        <v>612</v>
      </c>
    </row>
    <row r="332" spans="1:5" x14ac:dyDescent="0.3">
      <c r="A332" t="s">
        <v>335</v>
      </c>
      <c r="B332">
        <f>2*137.5</f>
        <v>275</v>
      </c>
      <c r="C332">
        <v>1258</v>
      </c>
      <c r="D332">
        <v>467</v>
      </c>
      <c r="E332">
        <v>613</v>
      </c>
    </row>
    <row r="333" spans="1:5" x14ac:dyDescent="0.3">
      <c r="A333" t="s">
        <v>336</v>
      </c>
      <c r="B333">
        <f>2*136</f>
        <v>272</v>
      </c>
      <c r="C333">
        <v>2005</v>
      </c>
      <c r="D333">
        <v>326</v>
      </c>
      <c r="E333">
        <v>360</v>
      </c>
    </row>
    <row r="334" spans="1:5" x14ac:dyDescent="0.3">
      <c r="A334" t="s">
        <v>337</v>
      </c>
      <c r="B334">
        <f>2*162</f>
        <v>324</v>
      </c>
      <c r="C334">
        <v>2370</v>
      </c>
      <c r="D334">
        <v>487</v>
      </c>
      <c r="E334">
        <v>514</v>
      </c>
    </row>
    <row r="335" spans="1:5" x14ac:dyDescent="0.3">
      <c r="A335" t="s">
        <v>338</v>
      </c>
      <c r="B335">
        <f>2*133</f>
        <v>266</v>
      </c>
      <c r="C335">
        <v>1861</v>
      </c>
      <c r="D335">
        <v>329</v>
      </c>
      <c r="E335">
        <v>404</v>
      </c>
    </row>
    <row r="336" spans="1:5" x14ac:dyDescent="0.3">
      <c r="A336" t="s">
        <v>339</v>
      </c>
      <c r="B336">
        <f>2*25.5</f>
        <v>51</v>
      </c>
      <c r="C336">
        <v>916</v>
      </c>
      <c r="D336">
        <v>70</v>
      </c>
      <c r="E336">
        <v>65</v>
      </c>
    </row>
    <row r="337" spans="1:19" x14ac:dyDescent="0.3">
      <c r="A337" t="s">
        <v>340</v>
      </c>
      <c r="B337">
        <f>2*124</f>
        <v>248</v>
      </c>
      <c r="C337">
        <v>2100</v>
      </c>
      <c r="D337">
        <v>475</v>
      </c>
      <c r="E337">
        <v>415</v>
      </c>
    </row>
    <row r="338" spans="1:19" x14ac:dyDescent="0.3">
      <c r="A338" t="s">
        <v>341</v>
      </c>
      <c r="B338">
        <f>2*129.5</f>
        <v>259</v>
      </c>
      <c r="C338">
        <v>1401</v>
      </c>
      <c r="D338">
        <v>566</v>
      </c>
      <c r="E338">
        <v>607</v>
      </c>
    </row>
    <row r="339" spans="1:19" x14ac:dyDescent="0.3">
      <c r="A339" t="s">
        <v>342</v>
      </c>
      <c r="B339">
        <f>2*138.5</f>
        <v>277</v>
      </c>
      <c r="C339">
        <v>1539</v>
      </c>
      <c r="D339">
        <v>605</v>
      </c>
      <c r="E339">
        <v>635</v>
      </c>
    </row>
    <row r="340" spans="1:19" x14ac:dyDescent="0.3">
      <c r="A340" t="s">
        <v>343</v>
      </c>
      <c r="B340">
        <f>2*159</f>
        <v>318</v>
      </c>
      <c r="C340">
        <v>2155</v>
      </c>
      <c r="D340">
        <v>446</v>
      </c>
      <c r="E340">
        <v>425</v>
      </c>
    </row>
    <row r="341" spans="1:19" x14ac:dyDescent="0.3">
      <c r="A341" t="s">
        <v>344</v>
      </c>
      <c r="B341">
        <f>2*178</f>
        <v>356</v>
      </c>
      <c r="C341">
        <v>1933</v>
      </c>
      <c r="D341">
        <v>422</v>
      </c>
      <c r="E341">
        <v>556</v>
      </c>
    </row>
    <row r="342" spans="1:19" x14ac:dyDescent="0.3">
      <c r="A342" t="s">
        <v>345</v>
      </c>
      <c r="B342">
        <f>2*202.5</f>
        <v>405</v>
      </c>
      <c r="C342">
        <v>2189</v>
      </c>
      <c r="D342">
        <v>488</v>
      </c>
      <c r="E342">
        <v>541</v>
      </c>
    </row>
    <row r="343" spans="1:19" x14ac:dyDescent="0.3">
      <c r="A343" t="s">
        <v>346</v>
      </c>
      <c r="B343">
        <f>2*124.5</f>
        <v>249</v>
      </c>
      <c r="C343">
        <v>1824</v>
      </c>
      <c r="D343">
        <v>215</v>
      </c>
      <c r="E343">
        <v>195</v>
      </c>
    </row>
    <row r="344" spans="1:19" x14ac:dyDescent="0.3">
      <c r="A344" t="s">
        <v>347</v>
      </c>
      <c r="B344">
        <f>2*185</f>
        <v>370</v>
      </c>
      <c r="C344">
        <v>2476</v>
      </c>
      <c r="D344">
        <v>708</v>
      </c>
      <c r="E344">
        <v>582</v>
      </c>
    </row>
    <row r="345" spans="1:19" x14ac:dyDescent="0.3">
      <c r="A345" t="s">
        <v>348</v>
      </c>
      <c r="B345">
        <f>2*149.5</f>
        <v>299</v>
      </c>
      <c r="C345">
        <v>1460</v>
      </c>
      <c r="D345">
        <v>573</v>
      </c>
      <c r="E345">
        <v>611</v>
      </c>
    </row>
    <row r="346" spans="1:19" x14ac:dyDescent="0.3">
      <c r="A346" t="s">
        <v>349</v>
      </c>
      <c r="B346">
        <f>2*121.5</f>
        <v>243</v>
      </c>
      <c r="C346">
        <v>1379</v>
      </c>
      <c r="D346">
        <v>568</v>
      </c>
      <c r="E346">
        <v>661</v>
      </c>
    </row>
    <row r="347" spans="1:19" x14ac:dyDescent="0.3">
      <c r="A347" t="s">
        <v>350</v>
      </c>
      <c r="B347">
        <f>2*149.5</f>
        <v>299</v>
      </c>
      <c r="C347">
        <v>2075</v>
      </c>
      <c r="D347">
        <v>410</v>
      </c>
      <c r="E347">
        <v>429</v>
      </c>
    </row>
    <row r="348" spans="1:19" x14ac:dyDescent="0.3">
      <c r="A348" t="s">
        <v>351</v>
      </c>
      <c r="B348">
        <f>2*171.5</f>
        <v>343</v>
      </c>
      <c r="C348">
        <v>2344</v>
      </c>
      <c r="D348">
        <v>555</v>
      </c>
      <c r="E348">
        <v>548</v>
      </c>
    </row>
    <row r="349" spans="1:19" x14ac:dyDescent="0.3">
      <c r="A349" t="s">
        <v>352</v>
      </c>
      <c r="B349">
        <f>2*167</f>
        <v>334</v>
      </c>
      <c r="C349">
        <v>1795</v>
      </c>
      <c r="D349">
        <v>489</v>
      </c>
      <c r="E349">
        <v>534</v>
      </c>
    </row>
    <row r="350" spans="1:19" x14ac:dyDescent="0.3">
      <c r="A350" t="s">
        <v>353</v>
      </c>
      <c r="B350">
        <f>2*127.5</f>
        <v>255</v>
      </c>
      <c r="C350">
        <v>2195</v>
      </c>
      <c r="D350">
        <v>545</v>
      </c>
      <c r="E350">
        <v>513</v>
      </c>
      <c r="O350" t="s">
        <v>371</v>
      </c>
      <c r="P350" t="s">
        <v>370</v>
      </c>
      <c r="Q350" t="s">
        <v>372</v>
      </c>
      <c r="R350" t="s">
        <v>373</v>
      </c>
    </row>
    <row r="351" spans="1:19" x14ac:dyDescent="0.3">
      <c r="A351" t="s">
        <v>354</v>
      </c>
      <c r="B351">
        <f>2*150</f>
        <v>300</v>
      </c>
      <c r="C351">
        <v>2023</v>
      </c>
      <c r="D351">
        <v>645</v>
      </c>
      <c r="E351">
        <v>576</v>
      </c>
      <c r="O351">
        <f>SUM(B2:B366)</f>
        <v>292881.59999999998</v>
      </c>
      <c r="P351">
        <f t="shared" ref="P351:R351" si="6">SUM(C2:C366)</f>
        <v>533346.38</v>
      </c>
      <c r="Q351">
        <f t="shared" si="6"/>
        <v>206556</v>
      </c>
      <c r="R351">
        <f t="shared" si="6"/>
        <v>187489</v>
      </c>
      <c r="S351" t="s">
        <v>393</v>
      </c>
    </row>
    <row r="352" spans="1:19" x14ac:dyDescent="0.3">
      <c r="A352" t="s">
        <v>355</v>
      </c>
      <c r="B352">
        <f>2*129</f>
        <v>258</v>
      </c>
      <c r="C352">
        <v>1408</v>
      </c>
      <c r="D352">
        <v>655</v>
      </c>
      <c r="E352">
        <v>631</v>
      </c>
      <c r="O352">
        <f>MIN(B2:B366)</f>
        <v>20</v>
      </c>
      <c r="P352">
        <f>MIN(C2:C366)</f>
        <v>139</v>
      </c>
      <c r="Q352">
        <f t="shared" ref="Q352:R352" si="7">MIN(D2:D366)</f>
        <v>36</v>
      </c>
      <c r="R352">
        <f t="shared" si="7"/>
        <v>19</v>
      </c>
      <c r="S352" t="s">
        <v>387</v>
      </c>
    </row>
    <row r="353" spans="1:19" x14ac:dyDescent="0.3">
      <c r="A353" t="s">
        <v>356</v>
      </c>
      <c r="B353">
        <f>2*119.5</f>
        <v>239</v>
      </c>
      <c r="C353">
        <v>1402</v>
      </c>
      <c r="D353">
        <v>901</v>
      </c>
      <c r="E353">
        <v>585</v>
      </c>
      <c r="O353">
        <f>MAX(B2:B366)</f>
        <v>2181.4</v>
      </c>
      <c r="P353">
        <f>MAX(C2:C366)</f>
        <v>2737</v>
      </c>
      <c r="Q353">
        <f t="shared" ref="Q353:R353" si="8">MAX(D2:D366)</f>
        <v>1198</v>
      </c>
      <c r="R353">
        <f t="shared" si="8"/>
        <v>1058</v>
      </c>
      <c r="S353" t="s">
        <v>388</v>
      </c>
    </row>
    <row r="354" spans="1:19" x14ac:dyDescent="0.3">
      <c r="A354" t="s">
        <v>357</v>
      </c>
      <c r="B354">
        <f>2*128.5</f>
        <v>257</v>
      </c>
      <c r="C354">
        <v>1884</v>
      </c>
      <c r="D354">
        <v>485</v>
      </c>
      <c r="E354">
        <v>398</v>
      </c>
      <c r="O354">
        <f>AVERAGE(B2:B366)</f>
        <v>802.41534246575338</v>
      </c>
      <c r="P354">
        <f>AVERAGE(C2:C366)</f>
        <v>1461.2229589041096</v>
      </c>
      <c r="Q354">
        <f t="shared" ref="Q354:R354" si="9">AVERAGE(D2:D366)</f>
        <v>565.90684931506848</v>
      </c>
      <c r="R354">
        <f t="shared" si="9"/>
        <v>513.66849315068498</v>
      </c>
      <c r="S354" t="s">
        <v>394</v>
      </c>
    </row>
    <row r="355" spans="1:19" x14ac:dyDescent="0.3">
      <c r="A355" t="s">
        <v>358</v>
      </c>
      <c r="B355">
        <f>2*151</f>
        <v>302</v>
      </c>
      <c r="C355">
        <v>2117</v>
      </c>
      <c r="D355">
        <v>677</v>
      </c>
      <c r="E355">
        <v>613</v>
      </c>
      <c r="O355">
        <f>MEDIAN(B2:B366)</f>
        <v>732</v>
      </c>
      <c r="P355">
        <f>MEDIAN(C2:C366)</f>
        <v>1487</v>
      </c>
      <c r="Q355">
        <f t="shared" ref="Q355:R355" si="10">MEDIAN(D2:D366)</f>
        <v>592</v>
      </c>
      <c r="R355">
        <f t="shared" si="10"/>
        <v>537</v>
      </c>
      <c r="S355" t="s">
        <v>395</v>
      </c>
    </row>
    <row r="356" spans="1:19" x14ac:dyDescent="0.3">
      <c r="A356" t="s">
        <v>359</v>
      </c>
      <c r="B356">
        <f>2*149.5</f>
        <v>299</v>
      </c>
      <c r="C356">
        <v>1993</v>
      </c>
      <c r="D356">
        <v>654</v>
      </c>
      <c r="E356">
        <v>597</v>
      </c>
    </row>
    <row r="357" spans="1:19" x14ac:dyDescent="0.3">
      <c r="A357" t="s">
        <v>360</v>
      </c>
      <c r="B357">
        <f>2*139</f>
        <v>278</v>
      </c>
      <c r="C357">
        <v>1780</v>
      </c>
      <c r="D357">
        <v>696</v>
      </c>
      <c r="E357">
        <v>595</v>
      </c>
    </row>
    <row r="358" spans="1:19" x14ac:dyDescent="0.3">
      <c r="A358" t="s">
        <v>361</v>
      </c>
      <c r="B358">
        <f>2*126</f>
        <v>252</v>
      </c>
      <c r="C358">
        <v>1442</v>
      </c>
      <c r="D358">
        <v>625</v>
      </c>
      <c r="E358">
        <v>687</v>
      </c>
    </row>
    <row r="359" spans="1:19" x14ac:dyDescent="0.3">
      <c r="A359" t="s">
        <v>362</v>
      </c>
      <c r="B359">
        <f>2*133</f>
        <v>266</v>
      </c>
      <c r="C359">
        <v>1132</v>
      </c>
      <c r="D359">
        <v>536</v>
      </c>
      <c r="E359">
        <v>617</v>
      </c>
    </row>
    <row r="360" spans="1:19" x14ac:dyDescent="0.3">
      <c r="A360" t="s">
        <v>363</v>
      </c>
      <c r="B360">
        <f>2*59.5</f>
        <v>119</v>
      </c>
      <c r="C360">
        <v>713</v>
      </c>
      <c r="D360">
        <v>314</v>
      </c>
      <c r="E360">
        <v>290</v>
      </c>
    </row>
    <row r="361" spans="1:19" x14ac:dyDescent="0.3">
      <c r="A361" t="s">
        <v>364</v>
      </c>
      <c r="B361">
        <f>2*100</f>
        <v>200</v>
      </c>
      <c r="C361">
        <v>977</v>
      </c>
      <c r="D361">
        <v>510</v>
      </c>
      <c r="E361">
        <v>380</v>
      </c>
    </row>
    <row r="362" spans="1:19" x14ac:dyDescent="0.3">
      <c r="A362" t="s">
        <v>365</v>
      </c>
      <c r="B362">
        <f>2*123.5</f>
        <v>247</v>
      </c>
      <c r="C362">
        <v>1145</v>
      </c>
      <c r="D362">
        <v>501</v>
      </c>
      <c r="E362">
        <v>410</v>
      </c>
    </row>
    <row r="363" spans="1:19" x14ac:dyDescent="0.3">
      <c r="A363" t="s">
        <v>366</v>
      </c>
      <c r="B363">
        <f>2*129</f>
        <v>258</v>
      </c>
      <c r="C363">
        <v>1264</v>
      </c>
      <c r="D363">
        <v>588</v>
      </c>
      <c r="E363">
        <v>550</v>
      </c>
    </row>
    <row r="364" spans="1:19" x14ac:dyDescent="0.3">
      <c r="A364" t="s">
        <v>367</v>
      </c>
      <c r="B364">
        <f>2*101</f>
        <v>202</v>
      </c>
      <c r="C364">
        <v>1212</v>
      </c>
      <c r="D364">
        <v>515</v>
      </c>
      <c r="E364">
        <v>486</v>
      </c>
    </row>
    <row r="365" spans="1:19" x14ac:dyDescent="0.3">
      <c r="A365" t="s">
        <v>368</v>
      </c>
      <c r="B365">
        <f>2*73</f>
        <v>146</v>
      </c>
      <c r="C365">
        <v>913</v>
      </c>
      <c r="D365">
        <v>387</v>
      </c>
      <c r="E365">
        <v>430</v>
      </c>
    </row>
    <row r="366" spans="1:19" x14ac:dyDescent="0.3">
      <c r="A366" t="s">
        <v>369</v>
      </c>
      <c r="B366">
        <f>2*80</f>
        <v>160</v>
      </c>
      <c r="C366">
        <v>1090</v>
      </c>
      <c r="D366">
        <v>430</v>
      </c>
      <c r="E366">
        <v>431</v>
      </c>
    </row>
    <row r="369" spans="1:9" x14ac:dyDescent="0.3">
      <c r="H369" t="s">
        <v>389</v>
      </c>
      <c r="I369">
        <f>CORREL(C2:C366, B2:B366)</f>
        <v>4.6707116388621274E-2</v>
      </c>
    </row>
    <row r="370" spans="1:9" x14ac:dyDescent="0.3">
      <c r="H370" t="s">
        <v>390</v>
      </c>
      <c r="I370">
        <f>CORREL(D2:D366, E2:E366)</f>
        <v>0.78673908002907933</v>
      </c>
    </row>
    <row r="371" spans="1:9" x14ac:dyDescent="0.3">
      <c r="H371" t="s">
        <v>391</v>
      </c>
      <c r="I371">
        <f>CORREL(B2:B366, E2:E366)</f>
        <v>0.31092791562206284</v>
      </c>
    </row>
    <row r="372" spans="1:9" x14ac:dyDescent="0.3">
      <c r="H372" t="s">
        <v>392</v>
      </c>
      <c r="I372">
        <f>CORREL(C2:C366, D2:D366)</f>
        <v>0.33922916638728928</v>
      </c>
    </row>
    <row r="373" spans="1:9" x14ac:dyDescent="0.3">
      <c r="A373" t="s">
        <v>374</v>
      </c>
      <c r="B373" t="s">
        <v>371</v>
      </c>
      <c r="C373" t="s">
        <v>370</v>
      </c>
      <c r="D373" t="s">
        <v>372</v>
      </c>
      <c r="E373" t="s">
        <v>373</v>
      </c>
    </row>
    <row r="374" spans="1:9" x14ac:dyDescent="0.3">
      <c r="A374" t="s">
        <v>375</v>
      </c>
      <c r="B374">
        <f>_xlfn.STDEV.S(B2:B32)</f>
        <v>273.19010457291296</v>
      </c>
      <c r="C374">
        <f>_xlfn.STDEV.S(C2:C32)</f>
        <v>127.34192393472733</v>
      </c>
      <c r="D374">
        <f>_xlfn.STDEV.S(D2:D32)</f>
        <v>153.32730469681974</v>
      </c>
      <c r="E374">
        <f>_xlfn.STDEV.S(E2:E32)</f>
        <v>224.91861371549251</v>
      </c>
    </row>
    <row r="375" spans="1:9" x14ac:dyDescent="0.3">
      <c r="A375" t="s">
        <v>376</v>
      </c>
      <c r="B375">
        <f>_xlfn.STDEV.S(B33:B60)</f>
        <v>483.1237541891021</v>
      </c>
      <c r="C375">
        <f>_xlfn.STDEV.S(C33:C60)</f>
        <v>467.97773174308992</v>
      </c>
      <c r="D375">
        <f>_xlfn.STDEV.S(D33:D60)</f>
        <v>253.26202787213242</v>
      </c>
      <c r="E375">
        <f>_xlfn.STDEV.S(E33:E60)</f>
        <v>315.44260498074294</v>
      </c>
    </row>
    <row r="376" spans="1:9" x14ac:dyDescent="0.3">
      <c r="A376" t="s">
        <v>386</v>
      </c>
      <c r="B376">
        <f>_xlfn.STDEV.S(B61:B91)</f>
        <v>606.12287267925012</v>
      </c>
      <c r="C376">
        <f>_xlfn.STDEV.S(C61:C91)</f>
        <v>550.47642969278115</v>
      </c>
      <c r="D376">
        <f>_xlfn.STDEV.S(D61:D91)</f>
        <v>159.64733984091174</v>
      </c>
      <c r="E376">
        <f>_xlfn.STDEV.S(E61:E91)</f>
        <v>175.11337648408221</v>
      </c>
    </row>
    <row r="377" spans="1:9" x14ac:dyDescent="0.3">
      <c r="A377" t="s">
        <v>377</v>
      </c>
      <c r="B377">
        <f>_xlfn.STDEV.S(B92:B121)</f>
        <v>394.78933712047359</v>
      </c>
      <c r="C377">
        <f>_xlfn.STDEV.S(C92:C121)</f>
        <v>393.79335411752004</v>
      </c>
      <c r="D377">
        <f>_xlfn.STDEV.S(D92:D121)</f>
        <v>128.67641407899853</v>
      </c>
      <c r="E377">
        <f>_xlfn.STDEV.S(E92:E121)</f>
        <v>139.77200235983662</v>
      </c>
    </row>
    <row r="378" spans="1:9" x14ac:dyDescent="0.3">
      <c r="A378" t="s">
        <v>378</v>
      </c>
      <c r="B378">
        <f>_xlfn.STDEV.S(B122:B152)</f>
        <v>446.8449475134293</v>
      </c>
      <c r="C378">
        <f>_xlfn.STDEV.S(C122:C152)</f>
        <v>443.48991333040073</v>
      </c>
      <c r="D378">
        <f>_xlfn.STDEV.S(D122:D152)</f>
        <v>262.86381444815976</v>
      </c>
      <c r="E378">
        <f>_xlfn.STDEV.S(E122:E152)</f>
        <v>232.37738586696764</v>
      </c>
    </row>
    <row r="379" spans="1:9" x14ac:dyDescent="0.3">
      <c r="A379" t="s">
        <v>380</v>
      </c>
      <c r="B379">
        <f>_xlfn.STDEV.S(B153:B182)</f>
        <v>196.97121675484652</v>
      </c>
      <c r="C379">
        <f>_xlfn.STDEV.S(C153:C182)</f>
        <v>263.12482069232442</v>
      </c>
      <c r="D379">
        <f>_xlfn.STDEV.S(D153:D182)</f>
        <v>98.793759400843356</v>
      </c>
      <c r="E379">
        <f>_xlfn.STDEV.S(E153:E182)</f>
        <v>106.38068703816805</v>
      </c>
    </row>
    <row r="380" spans="1:9" x14ac:dyDescent="0.3">
      <c r="A380" t="s">
        <v>379</v>
      </c>
      <c r="B380">
        <f>_xlfn.STDEV.S(B183:B213)</f>
        <v>326.38543306032858</v>
      </c>
      <c r="C380">
        <f>_xlfn.STDEV.S(C183:C213)</f>
        <v>384.86350324372438</v>
      </c>
      <c r="D380">
        <f>_xlfn.STDEV.S(D183:D213)</f>
        <v>203.09208674619683</v>
      </c>
      <c r="E380">
        <f>_xlfn.STDEV.S(E183:E213)</f>
        <v>190.01669988861275</v>
      </c>
    </row>
    <row r="381" spans="1:9" x14ac:dyDescent="0.3">
      <c r="A381" t="s">
        <v>381</v>
      </c>
      <c r="B381">
        <f>_xlfn.STDEV.S(B214:B244)</f>
        <v>442.24280039363026</v>
      </c>
      <c r="C381">
        <f>_xlfn.STDEV.S(C214:C244)</f>
        <v>409.23684482374074</v>
      </c>
      <c r="D381">
        <f>_xlfn.STDEV.S(D214:D244)</f>
        <v>134.41949263406701</v>
      </c>
      <c r="E381">
        <f>_xlfn.STDEV.S(E214:E244)</f>
        <v>146.67364108539516</v>
      </c>
    </row>
    <row r="382" spans="1:9" x14ac:dyDescent="0.3">
      <c r="A382" t="s">
        <v>382</v>
      </c>
      <c r="B382">
        <f>_xlfn.STDEV.S(B245:B274)</f>
        <v>159.07758896320007</v>
      </c>
      <c r="C382">
        <f>_xlfn.STDEV.S(C245:C274)</f>
        <v>415.50573532979553</v>
      </c>
      <c r="D382">
        <f>_xlfn.STDEV.S(D245:D274)</f>
        <v>152.61800032430159</v>
      </c>
      <c r="E382">
        <f>_xlfn.STDEV.S(E245:E274)</f>
        <v>177.49764123412504</v>
      </c>
    </row>
    <row r="383" spans="1:9" x14ac:dyDescent="0.3">
      <c r="A383" t="s">
        <v>383</v>
      </c>
      <c r="B383">
        <f>_xlfn.STDEV.S(B275:B305)</f>
        <v>132.22893148846299</v>
      </c>
      <c r="C383">
        <f>_xlfn.STDEV.S(C275:C305)</f>
        <v>470.46034364889516</v>
      </c>
      <c r="D383">
        <f>_xlfn.STDEV.S(D275:D305)</f>
        <v>191.32709142716433</v>
      </c>
      <c r="E383">
        <f>_xlfn.STDEV.S(E275:E305)</f>
        <v>208.53389399864133</v>
      </c>
    </row>
    <row r="384" spans="1:9" x14ac:dyDescent="0.3">
      <c r="A384" t="s">
        <v>384</v>
      </c>
      <c r="B384">
        <f>_xlfn.STDEV.S(B306:B335)</f>
        <v>62.857117666810893</v>
      </c>
      <c r="C384">
        <f>_xlfn.STDEV.S(C306:C335)</f>
        <v>459.83084752257912</v>
      </c>
      <c r="D384">
        <f>_xlfn.STDEV.S(D306:D335)</f>
        <v>171.10109937372275</v>
      </c>
      <c r="E384">
        <f>_xlfn.STDEV.S(E306:E335)</f>
        <v>131.66425430643272</v>
      </c>
    </row>
    <row r="385" spans="1:5" x14ac:dyDescent="0.3">
      <c r="A385" t="s">
        <v>385</v>
      </c>
      <c r="B385">
        <f>_xlfn.STDEV.S(B336:B366)</f>
        <v>73.351180623932265</v>
      </c>
      <c r="C385">
        <f>_xlfn.STDEV.S(C336:C366)</f>
        <v>482.37906390132929</v>
      </c>
      <c r="D385">
        <f>_xlfn.STDEV.S(D336:D366)</f>
        <v>154.51178748923417</v>
      </c>
      <c r="E385">
        <f>_xlfn.STDEV.S(E336:E366)</f>
        <v>139.32360412602978</v>
      </c>
    </row>
    <row r="387" spans="1:5" x14ac:dyDescent="0.3">
      <c r="A387" t="s">
        <v>387</v>
      </c>
      <c r="C387">
        <f>MIN(C374:C385)</f>
        <v>127.34192393472733</v>
      </c>
      <c r="D387">
        <f>MIN(D374:D385)</f>
        <v>98.793759400843356</v>
      </c>
    </row>
    <row r="388" spans="1:5" x14ac:dyDescent="0.3">
      <c r="A388" t="s">
        <v>388</v>
      </c>
      <c r="B388">
        <f>MAX(B374:B385)</f>
        <v>606.12287267925012</v>
      </c>
      <c r="E388">
        <f>MAX(E374:E385)</f>
        <v>315.44260498074294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Cycle_and_pedestrian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Blair</dc:creator>
  <cp:lastModifiedBy>Rory Blair</cp:lastModifiedBy>
  <dcterms:created xsi:type="dcterms:W3CDTF">2024-10-23T22:03:23Z</dcterms:created>
  <dcterms:modified xsi:type="dcterms:W3CDTF">2024-10-26T01:51:39Z</dcterms:modified>
</cp:coreProperties>
</file>