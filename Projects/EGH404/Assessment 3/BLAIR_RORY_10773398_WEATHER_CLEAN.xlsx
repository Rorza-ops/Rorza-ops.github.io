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ryb\OneDrive\Desktop\EGH404 Ass3\"/>
    </mc:Choice>
  </mc:AlternateContent>
  <xr:revisionPtr revIDLastSave="0" documentId="13_ncr:1_{A4227422-12E7-4301-96EB-4D6D2A01F872}" xr6:coauthVersionLast="47" xr6:coauthVersionMax="47" xr10:uidLastSave="{00000000-0000-0000-0000-000000000000}"/>
  <bookViews>
    <workbookView xWindow="-108" yWindow="-108" windowWidth="23256" windowHeight="12456" xr2:uid="{6E81B442-43ED-4DF0-AA72-4010D893025F}"/>
  </bookViews>
  <sheets>
    <sheet name="Weather_data" sheetId="1" r:id="rId1"/>
    <sheet name="Sheet1" sheetId="2" r:id="rId2"/>
  </sheets>
  <definedNames>
    <definedName name="_xlchart.v1.0" hidden="1">Weather_data!$D$2:$D$366</definedName>
    <definedName name="_xlchart.v1.1" hidden="1">Weather_data!$A$2:$A$366</definedName>
    <definedName name="_xlchart.v1.2" hidden="1">Weather_data!$B$1</definedName>
    <definedName name="_xlchart.v1.3" hidden="1">Weather_data!$B$2:$B$366</definedName>
    <definedName name="_xlchart.v1.4" hidden="1">Weather_data!$C$2:$C$366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0" i="1" l="1"/>
  <c r="P124" i="1"/>
  <c r="P123" i="1"/>
  <c r="P122" i="1"/>
  <c r="P121" i="1"/>
  <c r="P119" i="1"/>
  <c r="L124" i="1" a="1"/>
  <c r="L124" i="1" s="1"/>
  <c r="L120" i="1" a="1"/>
  <c r="L120" i="1" s="1"/>
  <c r="L119" i="1" a="1"/>
  <c r="L119" i="1" s="1"/>
  <c r="L122" i="1" a="1"/>
  <c r="L122" i="1" s="1"/>
  <c r="L111" i="1"/>
  <c r="L114" i="1"/>
  <c r="AX60" i="1"/>
  <c r="AX59" i="1"/>
  <c r="AX58" i="1"/>
  <c r="AT359" i="1"/>
  <c r="AT336" i="1"/>
  <c r="AT335" i="1"/>
  <c r="AT296" i="1"/>
  <c r="AT295" i="1"/>
  <c r="AT294" i="1"/>
  <c r="AT293" i="1"/>
  <c r="AT70" i="1"/>
  <c r="AT58" i="1"/>
  <c r="AT57" i="1"/>
  <c r="AT27" i="1"/>
  <c r="AT9" i="1"/>
  <c r="AT8" i="1"/>
  <c r="AL58" i="1"/>
  <c r="AL59" i="1"/>
  <c r="AL60" i="1"/>
  <c r="AH8" i="1"/>
  <c r="AH9" i="1"/>
  <c r="AH27" i="1"/>
  <c r="AH57" i="1"/>
  <c r="AH58" i="1"/>
  <c r="AH70" i="1"/>
  <c r="AH293" i="1"/>
  <c r="AH294" i="1"/>
  <c r="AH295" i="1"/>
  <c r="AH296" i="1"/>
  <c r="AH335" i="1"/>
  <c r="AH336" i="1"/>
  <c r="AH359" i="1"/>
  <c r="X359" i="1"/>
  <c r="X336" i="1"/>
  <c r="X335" i="1"/>
  <c r="X296" i="1"/>
  <c r="X295" i="1"/>
  <c r="X294" i="1"/>
  <c r="X293" i="1"/>
  <c r="X70" i="1"/>
  <c r="Y60" i="1"/>
  <c r="Y59" i="1"/>
  <c r="Y58" i="1"/>
  <c r="X58" i="1"/>
  <c r="X57" i="1"/>
  <c r="X27" i="1"/>
  <c r="X9" i="1"/>
  <c r="X8" i="1"/>
  <c r="E2" i="1"/>
  <c r="F2" i="1"/>
  <c r="G2" i="1"/>
  <c r="J2" i="1"/>
  <c r="E3" i="1"/>
  <c r="F3" i="1"/>
  <c r="G3" i="1"/>
  <c r="E4" i="1"/>
  <c r="F4" i="1"/>
  <c r="G4" i="1"/>
  <c r="E5" i="1"/>
  <c r="F5" i="1"/>
  <c r="G5" i="1"/>
  <c r="E6" i="1"/>
  <c r="F6" i="1"/>
  <c r="G6" i="1"/>
  <c r="E7" i="1"/>
  <c r="F7" i="1"/>
  <c r="G7" i="1"/>
  <c r="C8" i="1"/>
  <c r="G8" i="1" s="1"/>
  <c r="C9" i="1"/>
  <c r="F9" i="1" s="1"/>
  <c r="E10" i="1"/>
  <c r="F10" i="1"/>
  <c r="G10" i="1"/>
  <c r="E11" i="1"/>
  <c r="F11" i="1"/>
  <c r="G11" i="1"/>
  <c r="E12" i="1"/>
  <c r="F12" i="1"/>
  <c r="G12" i="1"/>
  <c r="E13" i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F18" i="1"/>
  <c r="G18" i="1"/>
  <c r="E19" i="1"/>
  <c r="F19" i="1"/>
  <c r="G19" i="1"/>
  <c r="E20" i="1"/>
  <c r="F20" i="1"/>
  <c r="G20" i="1"/>
  <c r="E21" i="1"/>
  <c r="F21" i="1"/>
  <c r="G21" i="1"/>
  <c r="E22" i="1"/>
  <c r="F22" i="1"/>
  <c r="G22" i="1"/>
  <c r="E23" i="1"/>
  <c r="F23" i="1"/>
  <c r="G23" i="1"/>
  <c r="E24" i="1"/>
  <c r="F24" i="1"/>
  <c r="G24" i="1"/>
  <c r="E25" i="1"/>
  <c r="F25" i="1"/>
  <c r="G25" i="1"/>
  <c r="E26" i="1"/>
  <c r="F26" i="1"/>
  <c r="G26" i="1"/>
  <c r="C27" i="1"/>
  <c r="E27" i="1" s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D381" i="1"/>
  <c r="D380" i="1"/>
  <c r="D379" i="1"/>
  <c r="B378" i="1"/>
  <c r="B377" i="1"/>
  <c r="B380" i="1"/>
  <c r="B373" i="1"/>
  <c r="C359" i="1"/>
  <c r="F359" i="1" s="1"/>
  <c r="C336" i="1"/>
  <c r="C335" i="1"/>
  <c r="F335" i="1" s="1"/>
  <c r="F297" i="1"/>
  <c r="C296" i="1"/>
  <c r="G296" i="1" s="1"/>
  <c r="C295" i="1"/>
  <c r="F295" i="1" s="1"/>
  <c r="C294" i="1"/>
  <c r="F294" i="1" s="1"/>
  <c r="C293" i="1"/>
  <c r="G293" i="1" s="1"/>
  <c r="C70" i="1"/>
  <c r="E70" i="1" s="1"/>
  <c r="C58" i="1"/>
  <c r="C57" i="1"/>
  <c r="G57" i="1" s="1"/>
  <c r="D60" i="1"/>
  <c r="D59" i="1"/>
  <c r="D58" i="1"/>
  <c r="D382" i="1"/>
  <c r="D388" i="1"/>
  <c r="D387" i="1"/>
  <c r="D386" i="1"/>
  <c r="C385" i="1"/>
  <c r="D385" i="1"/>
  <c r="C384" i="1"/>
  <c r="D384" i="1"/>
  <c r="D383" i="1"/>
  <c r="C383" i="1"/>
  <c r="C382" i="1"/>
  <c r="C381" i="1"/>
  <c r="C380" i="1"/>
  <c r="B388" i="1"/>
  <c r="B387" i="1"/>
  <c r="B384" i="1"/>
  <c r="B385" i="1"/>
  <c r="B386" i="1"/>
  <c r="B383" i="1"/>
  <c r="B382" i="1"/>
  <c r="B381" i="1"/>
  <c r="B379" i="1"/>
  <c r="D377" i="1"/>
  <c r="B374" i="1"/>
  <c r="B371" i="1"/>
  <c r="B370" i="1"/>
  <c r="B368" i="1"/>
  <c r="A368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61" i="1"/>
  <c r="G62" i="1"/>
  <c r="G63" i="1"/>
  <c r="G64" i="1"/>
  <c r="G65" i="1"/>
  <c r="G66" i="1"/>
  <c r="G67" i="1"/>
  <c r="G68" i="1"/>
  <c r="G69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60" i="1"/>
  <c r="G361" i="1"/>
  <c r="G362" i="1"/>
  <c r="G363" i="1"/>
  <c r="G364" i="1"/>
  <c r="G365" i="1"/>
  <c r="G36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61" i="1"/>
  <c r="F62" i="1"/>
  <c r="F63" i="1"/>
  <c r="F64" i="1"/>
  <c r="F65" i="1"/>
  <c r="F66" i="1"/>
  <c r="F67" i="1"/>
  <c r="F68" i="1"/>
  <c r="F69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60" i="1"/>
  <c r="F361" i="1"/>
  <c r="F362" i="1"/>
  <c r="F363" i="1"/>
  <c r="F364" i="1"/>
  <c r="F365" i="1"/>
  <c r="F366" i="1"/>
  <c r="E37" i="1"/>
  <c r="E38" i="1"/>
  <c r="E39" i="1"/>
  <c r="E40" i="1"/>
  <c r="E41" i="1"/>
  <c r="E42" i="1"/>
  <c r="E43" i="1"/>
  <c r="E44" i="1"/>
  <c r="E46" i="1"/>
  <c r="E47" i="1"/>
  <c r="E48" i="1"/>
  <c r="E49" i="1"/>
  <c r="E50" i="1"/>
  <c r="E51" i="1"/>
  <c r="E52" i="1"/>
  <c r="E53" i="1"/>
  <c r="E54" i="1"/>
  <c r="E55" i="1"/>
  <c r="E56" i="1"/>
  <c r="E61" i="1"/>
  <c r="E62" i="1"/>
  <c r="E63" i="1"/>
  <c r="E64" i="1"/>
  <c r="E65" i="1"/>
  <c r="E66" i="1"/>
  <c r="E67" i="1"/>
  <c r="E68" i="1"/>
  <c r="E69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4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60" i="1"/>
  <c r="E361" i="1"/>
  <c r="E362" i="1"/>
  <c r="E363" i="1"/>
  <c r="E364" i="1"/>
  <c r="E365" i="1"/>
  <c r="E366" i="1"/>
  <c r="L116" i="1" l="1"/>
  <c r="G294" i="1"/>
  <c r="L113" i="1"/>
  <c r="L123" i="1" a="1"/>
  <c r="L123" i="1" s="1"/>
  <c r="L112" i="1"/>
  <c r="L115" i="1"/>
  <c r="L121" i="1" a="1"/>
  <c r="L121" i="1" s="1"/>
  <c r="E295" i="1"/>
  <c r="G295" i="1"/>
  <c r="E9" i="1"/>
  <c r="F58" i="1"/>
  <c r="C388" i="1"/>
  <c r="G9" i="1"/>
  <c r="G70" i="1"/>
  <c r="F57" i="1"/>
  <c r="G27" i="1"/>
  <c r="F8" i="1"/>
  <c r="E57" i="1"/>
  <c r="C386" i="1"/>
  <c r="L2" i="1"/>
  <c r="E8" i="1"/>
  <c r="E336" i="1"/>
  <c r="G359" i="1"/>
  <c r="E293" i="1"/>
  <c r="F70" i="1"/>
  <c r="B391" i="1"/>
  <c r="F27" i="1"/>
  <c r="K2" i="1"/>
  <c r="E359" i="1"/>
  <c r="D374" i="1"/>
  <c r="F336" i="1"/>
  <c r="F293" i="1"/>
  <c r="C377" i="1"/>
  <c r="C387" i="1"/>
  <c r="B390" i="1"/>
  <c r="B372" i="1"/>
  <c r="G336" i="1"/>
  <c r="G335" i="1"/>
  <c r="E335" i="1"/>
  <c r="E296" i="1"/>
  <c r="F296" i="1"/>
  <c r="C379" i="1"/>
  <c r="C378" i="1"/>
  <c r="E58" i="1"/>
  <c r="C373" i="1"/>
  <c r="C371" i="1"/>
  <c r="G58" i="1"/>
  <c r="C374" i="1"/>
  <c r="C370" i="1"/>
  <c r="E60" i="1"/>
  <c r="D371" i="1"/>
  <c r="D373" i="1"/>
  <c r="D370" i="1"/>
  <c r="F60" i="1"/>
  <c r="G60" i="1"/>
  <c r="D378" i="1"/>
  <c r="D391" i="1" s="1"/>
  <c r="E59" i="1"/>
  <c r="G59" i="1"/>
  <c r="F59" i="1"/>
  <c r="C368" i="1"/>
  <c r="D368" i="1"/>
  <c r="C390" i="1" l="1"/>
  <c r="C391" i="1"/>
  <c r="G367" i="1"/>
  <c r="D390" i="1"/>
  <c r="D372" i="1"/>
  <c r="C372" i="1"/>
  <c r="F368" i="1"/>
  <c r="G368" i="1"/>
  <c r="E36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9B4F54-48DC-45B1-9643-0EFB1C6A8AEC}" keepAlive="1" name="Query - Weather_data" description="Connection to the 'Weather_data' query in the workbook." type="5" refreshedVersion="8" background="1" saveData="1">
    <dbPr connection="Provider=Microsoft.Mashup.OleDb.1;Data Source=$Workbook$;Location=Weather_data;Extended Properties=&quot;&quot;" command="SELECT * FROM [Weather_data]"/>
  </connection>
  <connection id="2" xr16:uid="{6EE99286-B425-4028-92BA-C9ACF4D0C449}" keepAlive="1" name="Query - Weather_data (2)" description="Connection to the 'Weather_data (2)' query in the workbook." type="5" refreshedVersion="0" background="1">
    <dbPr connection="Provider=Microsoft.Mashup.OleDb.1;Data Source=$Workbook$;Location=&quot;Weather_data (2)&quot;;Extended Properties=&quot;&quot;" command="SELECT * FROM [Weather_data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<sst xmlns="http://schemas.openxmlformats.org/spreadsheetml/2006/main" count="242" uniqueCount="83">
  <si>
    <t>Date</t>
  </si>
  <si>
    <t>Maximum temperature (Degree C)</t>
  </si>
  <si>
    <t>Daily global solar exposure (MJ/m*m)</t>
  </si>
  <si>
    <t>Rainfall amount (millimetres)</t>
  </si>
  <si>
    <t>COUNT</t>
  </si>
  <si>
    <t>COUNTA</t>
  </si>
  <si>
    <t>BLANKS</t>
  </si>
  <si>
    <t>Avg Temp</t>
  </si>
  <si>
    <t>Avg  Solar</t>
  </si>
  <si>
    <t>Avg Rain</t>
  </si>
  <si>
    <t>RANGE</t>
  </si>
  <si>
    <t>MIN</t>
  </si>
  <si>
    <t>MAX</t>
  </si>
  <si>
    <t>AVG</t>
  </si>
  <si>
    <t>MEDIAN</t>
  </si>
  <si>
    <t>STDEV</t>
  </si>
  <si>
    <t>FEB</t>
  </si>
  <si>
    <t>JAN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</si>
  <si>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</si>
  <si>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</si>
  <si>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</si>
  <si>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</si>
  <si>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</si>
  <si>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</si>
  <si>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</si>
  <si>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</si>
  <si>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</si>
  <si>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</si>
  <si>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Rain</t>
  </si>
  <si>
    <t>Solar</t>
  </si>
  <si>
    <t>Temp</t>
  </si>
  <si>
    <t>Jack Pesch Bridge, Indooroopilly Pedestrian</t>
  </si>
  <si>
    <t>Jack Pesch Bridge, Indooroopilly Cyclist</t>
  </si>
  <si>
    <t xml:space="preserve"> </t>
  </si>
  <si>
    <t>EP (Exposure x Pedestrian)</t>
  </si>
  <si>
    <t>MP (Max Temp x Pedestrian)</t>
  </si>
  <si>
    <t>RP (Rain x Pedestrian)</t>
  </si>
  <si>
    <t>MC (Max Temp x Cyclist)</t>
  </si>
  <si>
    <t>EC (Exposure x Cyclist)</t>
  </si>
  <si>
    <t>RC (Rain x Cyclist)</t>
  </si>
  <si>
    <t>Correlation between Weather and Cylist vs pedestrians</t>
  </si>
  <si>
    <t>MP</t>
  </si>
  <si>
    <t>EP</t>
  </si>
  <si>
    <t>RP</t>
  </si>
  <si>
    <t>MC</t>
  </si>
  <si>
    <t>EC</t>
  </si>
  <si>
    <t>RC</t>
  </si>
  <si>
    <t>Regression coefficients</t>
  </si>
  <si>
    <t>R^2</t>
  </si>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</sst>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5" fontId="0" fillId="0" borderId="0" xfId="0" applyNumberFormat="1"/>
    <xf numFmtId="0" fontId="0" fillId="0" borderId="0" xfId="0" quotePrefix="1"/>
    <xf numFmtId="16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3" formatCode="0%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4.1A.1). MaxTemp vs Cyclist (</a:t>
            </a:r>
            <a:r>
              <a:rPr lang="en-AU" sz="3000" b="0" i="0" u="none" strike="noStrike" baseline="0">
                <a:effectLst/>
              </a:rPr>
              <a:t>JackPesch Bridge)</a:t>
            </a:r>
            <a:endParaRPr lang="en-AU" sz="30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Weather_data!$AP$2:$AP$366</c:f>
              <c:numCache>
                <c:formatCode>General</c:formatCode>
                <c:ptCount val="365"/>
                <c:pt idx="0">
                  <c:v>26.6</c:v>
                </c:pt>
                <c:pt idx="1">
                  <c:v>27.7</c:v>
                </c:pt>
                <c:pt idx="2">
                  <c:v>30.2</c:v>
                </c:pt>
                <c:pt idx="3">
                  <c:v>31.8</c:v>
                </c:pt>
                <c:pt idx="4">
                  <c:v>30.3</c:v>
                </c:pt>
                <c:pt idx="5">
                  <c:v>30</c:v>
                </c:pt>
                <c:pt idx="6">
                  <c:v>28.8</c:v>
                </c:pt>
                <c:pt idx="7">
                  <c:v>27.6</c:v>
                </c:pt>
                <c:pt idx="8">
                  <c:v>30.3</c:v>
                </c:pt>
                <c:pt idx="9">
                  <c:v>30.4</c:v>
                </c:pt>
                <c:pt idx="10">
                  <c:v>29.8</c:v>
                </c:pt>
                <c:pt idx="11">
                  <c:v>29.7</c:v>
                </c:pt>
                <c:pt idx="12">
                  <c:v>29.8</c:v>
                </c:pt>
                <c:pt idx="13">
                  <c:v>29.6</c:v>
                </c:pt>
                <c:pt idx="14">
                  <c:v>30.7</c:v>
                </c:pt>
                <c:pt idx="15">
                  <c:v>31.4</c:v>
                </c:pt>
                <c:pt idx="16">
                  <c:v>32.4</c:v>
                </c:pt>
                <c:pt idx="17">
                  <c:v>31.5</c:v>
                </c:pt>
                <c:pt idx="18">
                  <c:v>32.4</c:v>
                </c:pt>
                <c:pt idx="19">
                  <c:v>26.7</c:v>
                </c:pt>
                <c:pt idx="20">
                  <c:v>28</c:v>
                </c:pt>
                <c:pt idx="21">
                  <c:v>27.7</c:v>
                </c:pt>
                <c:pt idx="22">
                  <c:v>28.3</c:v>
                </c:pt>
                <c:pt idx="23">
                  <c:v>29.8</c:v>
                </c:pt>
                <c:pt idx="24">
                  <c:v>30.5</c:v>
                </c:pt>
                <c:pt idx="25">
                  <c:v>26.6</c:v>
                </c:pt>
                <c:pt idx="26">
                  <c:v>28.4</c:v>
                </c:pt>
                <c:pt idx="27">
                  <c:v>30.1</c:v>
                </c:pt>
                <c:pt idx="28">
                  <c:v>31.2</c:v>
                </c:pt>
                <c:pt idx="29">
                  <c:v>31.6</c:v>
                </c:pt>
                <c:pt idx="30">
                  <c:v>32</c:v>
                </c:pt>
                <c:pt idx="31">
                  <c:v>34.700000000000003</c:v>
                </c:pt>
                <c:pt idx="32">
                  <c:v>35.5</c:v>
                </c:pt>
                <c:pt idx="33">
                  <c:v>30.7</c:v>
                </c:pt>
                <c:pt idx="34">
                  <c:v>28.4</c:v>
                </c:pt>
                <c:pt idx="35">
                  <c:v>27.4</c:v>
                </c:pt>
                <c:pt idx="36">
                  <c:v>26.9</c:v>
                </c:pt>
                <c:pt idx="37">
                  <c:v>29.2</c:v>
                </c:pt>
                <c:pt idx="38">
                  <c:v>28.3</c:v>
                </c:pt>
                <c:pt idx="39">
                  <c:v>30</c:v>
                </c:pt>
                <c:pt idx="40">
                  <c:v>31.2</c:v>
                </c:pt>
                <c:pt idx="41">
                  <c:v>31.3</c:v>
                </c:pt>
                <c:pt idx="42">
                  <c:v>28.9</c:v>
                </c:pt>
                <c:pt idx="43">
                  <c:v>29.3</c:v>
                </c:pt>
                <c:pt idx="44">
                  <c:v>27.9</c:v>
                </c:pt>
                <c:pt idx="45">
                  <c:v>27.1</c:v>
                </c:pt>
                <c:pt idx="46">
                  <c:v>28.7</c:v>
                </c:pt>
                <c:pt idx="47">
                  <c:v>29.8</c:v>
                </c:pt>
                <c:pt idx="48">
                  <c:v>31.9</c:v>
                </c:pt>
                <c:pt idx="49">
                  <c:v>31</c:v>
                </c:pt>
                <c:pt idx="50">
                  <c:v>27.6</c:v>
                </c:pt>
                <c:pt idx="51">
                  <c:v>30.1</c:v>
                </c:pt>
                <c:pt idx="52">
                  <c:v>30.3</c:v>
                </c:pt>
                <c:pt idx="53">
                  <c:v>28.7</c:v>
                </c:pt>
                <c:pt idx="54">
                  <c:v>28.1</c:v>
                </c:pt>
                <c:pt idx="55">
                  <c:v>24.2</c:v>
                </c:pt>
                <c:pt idx="56">
                  <c:v>23.9</c:v>
                </c:pt>
                <c:pt idx="57">
                  <c:v>23.6</c:v>
                </c:pt>
                <c:pt idx="58">
                  <c:v>29.9</c:v>
                </c:pt>
                <c:pt idx="59">
                  <c:v>30.4</c:v>
                </c:pt>
                <c:pt idx="60">
                  <c:v>31.4</c:v>
                </c:pt>
                <c:pt idx="61">
                  <c:v>27.7</c:v>
                </c:pt>
                <c:pt idx="62">
                  <c:v>27.5</c:v>
                </c:pt>
                <c:pt idx="63">
                  <c:v>31.6</c:v>
                </c:pt>
                <c:pt idx="64">
                  <c:v>32.200000000000003</c:v>
                </c:pt>
                <c:pt idx="65">
                  <c:v>30.6</c:v>
                </c:pt>
                <c:pt idx="66">
                  <c:v>34.4</c:v>
                </c:pt>
                <c:pt idx="67">
                  <c:v>34.700000000000003</c:v>
                </c:pt>
                <c:pt idx="68">
                  <c:v>27.2</c:v>
                </c:pt>
                <c:pt idx="69">
                  <c:v>26.6</c:v>
                </c:pt>
                <c:pt idx="70">
                  <c:v>27.5</c:v>
                </c:pt>
                <c:pt idx="71">
                  <c:v>28.7</c:v>
                </c:pt>
                <c:pt idx="72">
                  <c:v>28.7</c:v>
                </c:pt>
                <c:pt idx="73">
                  <c:v>27.6</c:v>
                </c:pt>
                <c:pt idx="74">
                  <c:v>29.3</c:v>
                </c:pt>
                <c:pt idx="75">
                  <c:v>30.5</c:v>
                </c:pt>
                <c:pt idx="76">
                  <c:v>29.1</c:v>
                </c:pt>
                <c:pt idx="77">
                  <c:v>29.2</c:v>
                </c:pt>
                <c:pt idx="78">
                  <c:v>28.7</c:v>
                </c:pt>
                <c:pt idx="79">
                  <c:v>29.8</c:v>
                </c:pt>
                <c:pt idx="80">
                  <c:v>29.8</c:v>
                </c:pt>
                <c:pt idx="81">
                  <c:v>30.9</c:v>
                </c:pt>
                <c:pt idx="82">
                  <c:v>30.6</c:v>
                </c:pt>
                <c:pt idx="83">
                  <c:v>30.4</c:v>
                </c:pt>
                <c:pt idx="84">
                  <c:v>27.6</c:v>
                </c:pt>
                <c:pt idx="85">
                  <c:v>28.5</c:v>
                </c:pt>
                <c:pt idx="86">
                  <c:v>21.9</c:v>
                </c:pt>
                <c:pt idx="87">
                  <c:v>25.4</c:v>
                </c:pt>
                <c:pt idx="88">
                  <c:v>27.5</c:v>
                </c:pt>
                <c:pt idx="89">
                  <c:v>28.9</c:v>
                </c:pt>
                <c:pt idx="90">
                  <c:v>28.5</c:v>
                </c:pt>
                <c:pt idx="91">
                  <c:v>27.6</c:v>
                </c:pt>
                <c:pt idx="92">
                  <c:v>29.4</c:v>
                </c:pt>
                <c:pt idx="93">
                  <c:v>28.6</c:v>
                </c:pt>
                <c:pt idx="94">
                  <c:v>30.2</c:v>
                </c:pt>
                <c:pt idx="95">
                  <c:v>28.4</c:v>
                </c:pt>
                <c:pt idx="96">
                  <c:v>27.7</c:v>
                </c:pt>
                <c:pt idx="97">
                  <c:v>27.8</c:v>
                </c:pt>
                <c:pt idx="98">
                  <c:v>26.6</c:v>
                </c:pt>
                <c:pt idx="99">
                  <c:v>28.1</c:v>
                </c:pt>
                <c:pt idx="100">
                  <c:v>29.5</c:v>
                </c:pt>
                <c:pt idx="101">
                  <c:v>29.7</c:v>
                </c:pt>
                <c:pt idx="102">
                  <c:v>27.1</c:v>
                </c:pt>
                <c:pt idx="103">
                  <c:v>26.2</c:v>
                </c:pt>
                <c:pt idx="104">
                  <c:v>26.5</c:v>
                </c:pt>
                <c:pt idx="105">
                  <c:v>26.7</c:v>
                </c:pt>
                <c:pt idx="106">
                  <c:v>25.7</c:v>
                </c:pt>
                <c:pt idx="107">
                  <c:v>27</c:v>
                </c:pt>
                <c:pt idx="108">
                  <c:v>27.6</c:v>
                </c:pt>
                <c:pt idx="109">
                  <c:v>30.1</c:v>
                </c:pt>
                <c:pt idx="110">
                  <c:v>27.4</c:v>
                </c:pt>
                <c:pt idx="111">
                  <c:v>26.3</c:v>
                </c:pt>
                <c:pt idx="112">
                  <c:v>23.2</c:v>
                </c:pt>
                <c:pt idx="113">
                  <c:v>23.9</c:v>
                </c:pt>
                <c:pt idx="114">
                  <c:v>20.100000000000001</c:v>
                </c:pt>
                <c:pt idx="115">
                  <c:v>22.6</c:v>
                </c:pt>
                <c:pt idx="116">
                  <c:v>26</c:v>
                </c:pt>
                <c:pt idx="117">
                  <c:v>25.8</c:v>
                </c:pt>
                <c:pt idx="118">
                  <c:v>27.1</c:v>
                </c:pt>
                <c:pt idx="119">
                  <c:v>27.3</c:v>
                </c:pt>
                <c:pt idx="120">
                  <c:v>23.1</c:v>
                </c:pt>
                <c:pt idx="121">
                  <c:v>25.4</c:v>
                </c:pt>
                <c:pt idx="122">
                  <c:v>25.8</c:v>
                </c:pt>
                <c:pt idx="123">
                  <c:v>26.3</c:v>
                </c:pt>
                <c:pt idx="124">
                  <c:v>28.3</c:v>
                </c:pt>
                <c:pt idx="125">
                  <c:v>26.9</c:v>
                </c:pt>
                <c:pt idx="126">
                  <c:v>25.3</c:v>
                </c:pt>
                <c:pt idx="127">
                  <c:v>23</c:v>
                </c:pt>
                <c:pt idx="128">
                  <c:v>19.3</c:v>
                </c:pt>
                <c:pt idx="129">
                  <c:v>23.6</c:v>
                </c:pt>
                <c:pt idx="130">
                  <c:v>22.3</c:v>
                </c:pt>
                <c:pt idx="131">
                  <c:v>23.3</c:v>
                </c:pt>
                <c:pt idx="132">
                  <c:v>24.2</c:v>
                </c:pt>
                <c:pt idx="133">
                  <c:v>24.6</c:v>
                </c:pt>
                <c:pt idx="134">
                  <c:v>27.5</c:v>
                </c:pt>
                <c:pt idx="135">
                  <c:v>27.6</c:v>
                </c:pt>
                <c:pt idx="136">
                  <c:v>27.6</c:v>
                </c:pt>
                <c:pt idx="137">
                  <c:v>26.3</c:v>
                </c:pt>
                <c:pt idx="138">
                  <c:v>22.7</c:v>
                </c:pt>
                <c:pt idx="139">
                  <c:v>21.3</c:v>
                </c:pt>
                <c:pt idx="140">
                  <c:v>18.2</c:v>
                </c:pt>
                <c:pt idx="141">
                  <c:v>20.399999999999999</c:v>
                </c:pt>
                <c:pt idx="142">
                  <c:v>22.1</c:v>
                </c:pt>
                <c:pt idx="143">
                  <c:v>22.7</c:v>
                </c:pt>
                <c:pt idx="144">
                  <c:v>23.1</c:v>
                </c:pt>
                <c:pt idx="145">
                  <c:v>24</c:v>
                </c:pt>
                <c:pt idx="146">
                  <c:v>24.6</c:v>
                </c:pt>
                <c:pt idx="147">
                  <c:v>24.8</c:v>
                </c:pt>
                <c:pt idx="148">
                  <c:v>21.2</c:v>
                </c:pt>
                <c:pt idx="149">
                  <c:v>20.7</c:v>
                </c:pt>
                <c:pt idx="150">
                  <c:v>20.6</c:v>
                </c:pt>
                <c:pt idx="151">
                  <c:v>20</c:v>
                </c:pt>
                <c:pt idx="152">
                  <c:v>20.3</c:v>
                </c:pt>
                <c:pt idx="153">
                  <c:v>22.3</c:v>
                </c:pt>
                <c:pt idx="154">
                  <c:v>21</c:v>
                </c:pt>
                <c:pt idx="155">
                  <c:v>20.8</c:v>
                </c:pt>
                <c:pt idx="156">
                  <c:v>21.7</c:v>
                </c:pt>
                <c:pt idx="157">
                  <c:v>16.899999999999999</c:v>
                </c:pt>
                <c:pt idx="158">
                  <c:v>20.100000000000001</c:v>
                </c:pt>
                <c:pt idx="159">
                  <c:v>17.600000000000001</c:v>
                </c:pt>
                <c:pt idx="160">
                  <c:v>17.3</c:v>
                </c:pt>
                <c:pt idx="161">
                  <c:v>18.8</c:v>
                </c:pt>
                <c:pt idx="162">
                  <c:v>19.399999999999999</c:v>
                </c:pt>
                <c:pt idx="163">
                  <c:v>21.7</c:v>
                </c:pt>
                <c:pt idx="164">
                  <c:v>22.8</c:v>
                </c:pt>
                <c:pt idx="165">
                  <c:v>23.5</c:v>
                </c:pt>
                <c:pt idx="166">
                  <c:v>23.7</c:v>
                </c:pt>
                <c:pt idx="167">
                  <c:v>23.4</c:v>
                </c:pt>
                <c:pt idx="168">
                  <c:v>21.9</c:v>
                </c:pt>
                <c:pt idx="169">
                  <c:v>23.3</c:v>
                </c:pt>
                <c:pt idx="170">
                  <c:v>23.2</c:v>
                </c:pt>
                <c:pt idx="171">
                  <c:v>22.8</c:v>
                </c:pt>
                <c:pt idx="172">
                  <c:v>23.8</c:v>
                </c:pt>
                <c:pt idx="173">
                  <c:v>23.3</c:v>
                </c:pt>
                <c:pt idx="174">
                  <c:v>22.8</c:v>
                </c:pt>
                <c:pt idx="175">
                  <c:v>22.7</c:v>
                </c:pt>
                <c:pt idx="176">
                  <c:v>22.7</c:v>
                </c:pt>
                <c:pt idx="177">
                  <c:v>22.3</c:v>
                </c:pt>
                <c:pt idx="178">
                  <c:v>20.100000000000001</c:v>
                </c:pt>
                <c:pt idx="179">
                  <c:v>18.899999999999999</c:v>
                </c:pt>
                <c:pt idx="180">
                  <c:v>21.3</c:v>
                </c:pt>
                <c:pt idx="181">
                  <c:v>15.7</c:v>
                </c:pt>
                <c:pt idx="182">
                  <c:v>17.100000000000001</c:v>
                </c:pt>
                <c:pt idx="183">
                  <c:v>18.399999999999999</c:v>
                </c:pt>
                <c:pt idx="184">
                  <c:v>14.2</c:v>
                </c:pt>
                <c:pt idx="185">
                  <c:v>14</c:v>
                </c:pt>
                <c:pt idx="186">
                  <c:v>19.2</c:v>
                </c:pt>
                <c:pt idx="187">
                  <c:v>21.1</c:v>
                </c:pt>
                <c:pt idx="188">
                  <c:v>18.7</c:v>
                </c:pt>
                <c:pt idx="189">
                  <c:v>19.600000000000001</c:v>
                </c:pt>
                <c:pt idx="190">
                  <c:v>20</c:v>
                </c:pt>
                <c:pt idx="191">
                  <c:v>20.100000000000001</c:v>
                </c:pt>
                <c:pt idx="192">
                  <c:v>19.100000000000001</c:v>
                </c:pt>
                <c:pt idx="193">
                  <c:v>18.8</c:v>
                </c:pt>
                <c:pt idx="194">
                  <c:v>20</c:v>
                </c:pt>
                <c:pt idx="195">
                  <c:v>21.6</c:v>
                </c:pt>
                <c:pt idx="196">
                  <c:v>21.6</c:v>
                </c:pt>
                <c:pt idx="197">
                  <c:v>23.1</c:v>
                </c:pt>
                <c:pt idx="198">
                  <c:v>24.3</c:v>
                </c:pt>
                <c:pt idx="199">
                  <c:v>21.5</c:v>
                </c:pt>
                <c:pt idx="200">
                  <c:v>19.2</c:v>
                </c:pt>
                <c:pt idx="201">
                  <c:v>18.100000000000001</c:v>
                </c:pt>
                <c:pt idx="202">
                  <c:v>18.600000000000001</c:v>
                </c:pt>
                <c:pt idx="203">
                  <c:v>21.6</c:v>
                </c:pt>
                <c:pt idx="204">
                  <c:v>23</c:v>
                </c:pt>
                <c:pt idx="205">
                  <c:v>22.3</c:v>
                </c:pt>
                <c:pt idx="206">
                  <c:v>23.5</c:v>
                </c:pt>
                <c:pt idx="207">
                  <c:v>19.600000000000001</c:v>
                </c:pt>
                <c:pt idx="208">
                  <c:v>21.5</c:v>
                </c:pt>
                <c:pt idx="209">
                  <c:v>21.8</c:v>
                </c:pt>
                <c:pt idx="210">
                  <c:v>20.6</c:v>
                </c:pt>
                <c:pt idx="211">
                  <c:v>20.100000000000001</c:v>
                </c:pt>
                <c:pt idx="212">
                  <c:v>20.3</c:v>
                </c:pt>
                <c:pt idx="213">
                  <c:v>23.7</c:v>
                </c:pt>
                <c:pt idx="214">
                  <c:v>23.8</c:v>
                </c:pt>
                <c:pt idx="215">
                  <c:v>23.2</c:v>
                </c:pt>
                <c:pt idx="216">
                  <c:v>23.9</c:v>
                </c:pt>
                <c:pt idx="217">
                  <c:v>22.2</c:v>
                </c:pt>
                <c:pt idx="218">
                  <c:v>21.9</c:v>
                </c:pt>
                <c:pt idx="219">
                  <c:v>21.4</c:v>
                </c:pt>
                <c:pt idx="220">
                  <c:v>21.8</c:v>
                </c:pt>
                <c:pt idx="221">
                  <c:v>21.6</c:v>
                </c:pt>
                <c:pt idx="222">
                  <c:v>21.9</c:v>
                </c:pt>
                <c:pt idx="223">
                  <c:v>20.3</c:v>
                </c:pt>
                <c:pt idx="224">
                  <c:v>16.899999999999999</c:v>
                </c:pt>
                <c:pt idx="225">
                  <c:v>22.3</c:v>
                </c:pt>
                <c:pt idx="226">
                  <c:v>21.8</c:v>
                </c:pt>
                <c:pt idx="227">
                  <c:v>22.1</c:v>
                </c:pt>
                <c:pt idx="228">
                  <c:v>22.3</c:v>
                </c:pt>
                <c:pt idx="229">
                  <c:v>23.9</c:v>
                </c:pt>
                <c:pt idx="230">
                  <c:v>28.1</c:v>
                </c:pt>
                <c:pt idx="231">
                  <c:v>24</c:v>
                </c:pt>
                <c:pt idx="232">
                  <c:v>21.5</c:v>
                </c:pt>
                <c:pt idx="233">
                  <c:v>21.7</c:v>
                </c:pt>
                <c:pt idx="234">
                  <c:v>25.2</c:v>
                </c:pt>
                <c:pt idx="235">
                  <c:v>19.899999999999999</c:v>
                </c:pt>
                <c:pt idx="236">
                  <c:v>22.1</c:v>
                </c:pt>
                <c:pt idx="237">
                  <c:v>21.8</c:v>
                </c:pt>
                <c:pt idx="238">
                  <c:v>22.2</c:v>
                </c:pt>
                <c:pt idx="239">
                  <c:v>22.7</c:v>
                </c:pt>
                <c:pt idx="240">
                  <c:v>23</c:v>
                </c:pt>
                <c:pt idx="241">
                  <c:v>20.7</c:v>
                </c:pt>
                <c:pt idx="242">
                  <c:v>24.9</c:v>
                </c:pt>
                <c:pt idx="243">
                  <c:v>22.8</c:v>
                </c:pt>
                <c:pt idx="244">
                  <c:v>20.3</c:v>
                </c:pt>
                <c:pt idx="245">
                  <c:v>19.399999999999999</c:v>
                </c:pt>
                <c:pt idx="246">
                  <c:v>21.9</c:v>
                </c:pt>
                <c:pt idx="247">
                  <c:v>21.2</c:v>
                </c:pt>
                <c:pt idx="248">
                  <c:v>21.7</c:v>
                </c:pt>
                <c:pt idx="249">
                  <c:v>21</c:v>
                </c:pt>
                <c:pt idx="250">
                  <c:v>21.5</c:v>
                </c:pt>
                <c:pt idx="251">
                  <c:v>23.7</c:v>
                </c:pt>
                <c:pt idx="252">
                  <c:v>25.5</c:v>
                </c:pt>
                <c:pt idx="253">
                  <c:v>25.4</c:v>
                </c:pt>
                <c:pt idx="254">
                  <c:v>23.2</c:v>
                </c:pt>
                <c:pt idx="255">
                  <c:v>25</c:v>
                </c:pt>
                <c:pt idx="256">
                  <c:v>23.5</c:v>
                </c:pt>
                <c:pt idx="257">
                  <c:v>22.2</c:v>
                </c:pt>
                <c:pt idx="258">
                  <c:v>22.7</c:v>
                </c:pt>
                <c:pt idx="259">
                  <c:v>29.6</c:v>
                </c:pt>
                <c:pt idx="260">
                  <c:v>27.3</c:v>
                </c:pt>
                <c:pt idx="261">
                  <c:v>28.8</c:v>
                </c:pt>
                <c:pt idx="262">
                  <c:v>27.7</c:v>
                </c:pt>
                <c:pt idx="263">
                  <c:v>23.4</c:v>
                </c:pt>
                <c:pt idx="264">
                  <c:v>20.9</c:v>
                </c:pt>
                <c:pt idx="265">
                  <c:v>25.8</c:v>
                </c:pt>
                <c:pt idx="266">
                  <c:v>27.9</c:v>
                </c:pt>
                <c:pt idx="267">
                  <c:v>26.9</c:v>
                </c:pt>
                <c:pt idx="268">
                  <c:v>26.8</c:v>
                </c:pt>
                <c:pt idx="269">
                  <c:v>25.6</c:v>
                </c:pt>
                <c:pt idx="270">
                  <c:v>25.8</c:v>
                </c:pt>
                <c:pt idx="271">
                  <c:v>22.6</c:v>
                </c:pt>
                <c:pt idx="272">
                  <c:v>27.9</c:v>
                </c:pt>
                <c:pt idx="273">
                  <c:v>22.7</c:v>
                </c:pt>
                <c:pt idx="274">
                  <c:v>18.5</c:v>
                </c:pt>
                <c:pt idx="275">
                  <c:v>22.9</c:v>
                </c:pt>
                <c:pt idx="276">
                  <c:v>22.3</c:v>
                </c:pt>
                <c:pt idx="277">
                  <c:v>24.1</c:v>
                </c:pt>
                <c:pt idx="278">
                  <c:v>23.2</c:v>
                </c:pt>
                <c:pt idx="279">
                  <c:v>24.5</c:v>
                </c:pt>
                <c:pt idx="280">
                  <c:v>24.9</c:v>
                </c:pt>
                <c:pt idx="281">
                  <c:v>27.2</c:v>
                </c:pt>
                <c:pt idx="282">
                  <c:v>21.9</c:v>
                </c:pt>
                <c:pt idx="283">
                  <c:v>23.6</c:v>
                </c:pt>
                <c:pt idx="284">
                  <c:v>24.2</c:v>
                </c:pt>
                <c:pt idx="285">
                  <c:v>25.9</c:v>
                </c:pt>
                <c:pt idx="286">
                  <c:v>26.1</c:v>
                </c:pt>
                <c:pt idx="287">
                  <c:v>26.2</c:v>
                </c:pt>
                <c:pt idx="288">
                  <c:v>25.1</c:v>
                </c:pt>
                <c:pt idx="289">
                  <c:v>24.6</c:v>
                </c:pt>
                <c:pt idx="290">
                  <c:v>25.8</c:v>
                </c:pt>
                <c:pt idx="291">
                  <c:v>23.2</c:v>
                </c:pt>
                <c:pt idx="292">
                  <c:v>24.4</c:v>
                </c:pt>
                <c:pt idx="293">
                  <c:v>24.3</c:v>
                </c:pt>
                <c:pt idx="294">
                  <c:v>22.1</c:v>
                </c:pt>
                <c:pt idx="295">
                  <c:v>25.1</c:v>
                </c:pt>
                <c:pt idx="296">
                  <c:v>31.3</c:v>
                </c:pt>
                <c:pt idx="297">
                  <c:v>29.4</c:v>
                </c:pt>
                <c:pt idx="298">
                  <c:v>32.4</c:v>
                </c:pt>
                <c:pt idx="299">
                  <c:v>34.299999999999997</c:v>
                </c:pt>
                <c:pt idx="300">
                  <c:v>31.6</c:v>
                </c:pt>
                <c:pt idx="301">
                  <c:v>30.7</c:v>
                </c:pt>
                <c:pt idx="302">
                  <c:v>30.1</c:v>
                </c:pt>
                <c:pt idx="303">
                  <c:v>28.1</c:v>
                </c:pt>
                <c:pt idx="304">
                  <c:v>26</c:v>
                </c:pt>
                <c:pt idx="305">
                  <c:v>23.7</c:v>
                </c:pt>
                <c:pt idx="306">
                  <c:v>24.3</c:v>
                </c:pt>
                <c:pt idx="307">
                  <c:v>24.9</c:v>
                </c:pt>
                <c:pt idx="308">
                  <c:v>25.1</c:v>
                </c:pt>
                <c:pt idx="309">
                  <c:v>25.6</c:v>
                </c:pt>
                <c:pt idx="310">
                  <c:v>25.7</c:v>
                </c:pt>
                <c:pt idx="311">
                  <c:v>25.2</c:v>
                </c:pt>
                <c:pt idx="312">
                  <c:v>25.3</c:v>
                </c:pt>
                <c:pt idx="313">
                  <c:v>25.7</c:v>
                </c:pt>
                <c:pt idx="314">
                  <c:v>26.2</c:v>
                </c:pt>
                <c:pt idx="315">
                  <c:v>28.4</c:v>
                </c:pt>
                <c:pt idx="316">
                  <c:v>27.7</c:v>
                </c:pt>
                <c:pt idx="317">
                  <c:v>28.8</c:v>
                </c:pt>
                <c:pt idx="318">
                  <c:v>33.299999999999997</c:v>
                </c:pt>
                <c:pt idx="319">
                  <c:v>30.1</c:v>
                </c:pt>
                <c:pt idx="320">
                  <c:v>24.8</c:v>
                </c:pt>
                <c:pt idx="321">
                  <c:v>27</c:v>
                </c:pt>
                <c:pt idx="322">
                  <c:v>28.3</c:v>
                </c:pt>
                <c:pt idx="323">
                  <c:v>34.5</c:v>
                </c:pt>
                <c:pt idx="324">
                  <c:v>34.299999999999997</c:v>
                </c:pt>
                <c:pt idx="325">
                  <c:v>30.7</c:v>
                </c:pt>
                <c:pt idx="326">
                  <c:v>27.6</c:v>
                </c:pt>
                <c:pt idx="327">
                  <c:v>28.6</c:v>
                </c:pt>
                <c:pt idx="328">
                  <c:v>32.4</c:v>
                </c:pt>
                <c:pt idx="329">
                  <c:v>33.9</c:v>
                </c:pt>
                <c:pt idx="330">
                  <c:v>29.4</c:v>
                </c:pt>
                <c:pt idx="331">
                  <c:v>31</c:v>
                </c:pt>
                <c:pt idx="332">
                  <c:v>28.5</c:v>
                </c:pt>
                <c:pt idx="333">
                  <c:v>22.6</c:v>
                </c:pt>
                <c:pt idx="334">
                  <c:v>22.3</c:v>
                </c:pt>
                <c:pt idx="335">
                  <c:v>25.2</c:v>
                </c:pt>
                <c:pt idx="336">
                  <c:v>26.2</c:v>
                </c:pt>
                <c:pt idx="337">
                  <c:v>26.6</c:v>
                </c:pt>
                <c:pt idx="338">
                  <c:v>29.2</c:v>
                </c:pt>
                <c:pt idx="339">
                  <c:v>35.4</c:v>
                </c:pt>
                <c:pt idx="340">
                  <c:v>30</c:v>
                </c:pt>
                <c:pt idx="341">
                  <c:v>29.8</c:v>
                </c:pt>
                <c:pt idx="342">
                  <c:v>26.5</c:v>
                </c:pt>
                <c:pt idx="343">
                  <c:v>26.1</c:v>
                </c:pt>
                <c:pt idx="344">
                  <c:v>27.6</c:v>
                </c:pt>
                <c:pt idx="345">
                  <c:v>29.6</c:v>
                </c:pt>
                <c:pt idx="346">
                  <c:v>30.9</c:v>
                </c:pt>
                <c:pt idx="347">
                  <c:v>32.799999999999997</c:v>
                </c:pt>
                <c:pt idx="348">
                  <c:v>29.2</c:v>
                </c:pt>
                <c:pt idx="349">
                  <c:v>27.3</c:v>
                </c:pt>
                <c:pt idx="350">
                  <c:v>26.5</c:v>
                </c:pt>
                <c:pt idx="351">
                  <c:v>27.1</c:v>
                </c:pt>
                <c:pt idx="352">
                  <c:v>26.4</c:v>
                </c:pt>
                <c:pt idx="353">
                  <c:v>27.1</c:v>
                </c:pt>
                <c:pt idx="354">
                  <c:v>27.4</c:v>
                </c:pt>
                <c:pt idx="355">
                  <c:v>26.8</c:v>
                </c:pt>
                <c:pt idx="356">
                  <c:v>29.1</c:v>
                </c:pt>
                <c:pt idx="357">
                  <c:v>27.7</c:v>
                </c:pt>
                <c:pt idx="358">
                  <c:v>27.9</c:v>
                </c:pt>
                <c:pt idx="359">
                  <c:v>28.7</c:v>
                </c:pt>
                <c:pt idx="360">
                  <c:v>28.2</c:v>
                </c:pt>
                <c:pt idx="361">
                  <c:v>28</c:v>
                </c:pt>
                <c:pt idx="362">
                  <c:v>28.1</c:v>
                </c:pt>
                <c:pt idx="363">
                  <c:v>27.9</c:v>
                </c:pt>
                <c:pt idx="364">
                  <c:v>28.7</c:v>
                </c:pt>
              </c:numCache>
            </c:numRef>
          </c:xVal>
          <c:yVal>
            <c:numRef>
              <c:f>Weather_data!$AQ$2:$AQ$366</c:f>
              <c:numCache>
                <c:formatCode>General</c:formatCode>
                <c:ptCount val="365"/>
                <c:pt idx="0">
                  <c:v>142</c:v>
                </c:pt>
                <c:pt idx="1">
                  <c:v>829</c:v>
                </c:pt>
                <c:pt idx="2">
                  <c:v>801</c:v>
                </c:pt>
                <c:pt idx="3">
                  <c:v>578</c:v>
                </c:pt>
                <c:pt idx="4">
                  <c:v>588</c:v>
                </c:pt>
                <c:pt idx="5">
                  <c:v>371</c:v>
                </c:pt>
                <c:pt idx="6">
                  <c:v>349</c:v>
                </c:pt>
                <c:pt idx="7">
                  <c:v>211</c:v>
                </c:pt>
                <c:pt idx="8">
                  <c:v>879</c:v>
                </c:pt>
                <c:pt idx="9">
                  <c:v>515</c:v>
                </c:pt>
                <c:pt idx="10">
                  <c:v>604</c:v>
                </c:pt>
                <c:pt idx="11">
                  <c:v>707</c:v>
                </c:pt>
                <c:pt idx="12">
                  <c:v>668</c:v>
                </c:pt>
                <c:pt idx="13">
                  <c:v>772</c:v>
                </c:pt>
                <c:pt idx="14">
                  <c:v>785</c:v>
                </c:pt>
                <c:pt idx="15">
                  <c:v>730</c:v>
                </c:pt>
                <c:pt idx="16">
                  <c:v>526</c:v>
                </c:pt>
                <c:pt idx="17">
                  <c:v>681</c:v>
                </c:pt>
                <c:pt idx="18">
                  <c:v>688</c:v>
                </c:pt>
                <c:pt idx="19">
                  <c:v>121</c:v>
                </c:pt>
                <c:pt idx="20">
                  <c:v>728</c:v>
                </c:pt>
                <c:pt idx="21">
                  <c:v>740</c:v>
                </c:pt>
                <c:pt idx="22">
                  <c:v>1058</c:v>
                </c:pt>
                <c:pt idx="23">
                  <c:v>540</c:v>
                </c:pt>
                <c:pt idx="24">
                  <c:v>712</c:v>
                </c:pt>
                <c:pt idx="25">
                  <c:v>716</c:v>
                </c:pt>
                <c:pt idx="26">
                  <c:v>547</c:v>
                </c:pt>
                <c:pt idx="27">
                  <c:v>410</c:v>
                </c:pt>
                <c:pt idx="28">
                  <c:v>774</c:v>
                </c:pt>
                <c:pt idx="29">
                  <c:v>1020</c:v>
                </c:pt>
                <c:pt idx="30">
                  <c:v>496</c:v>
                </c:pt>
                <c:pt idx="31">
                  <c:v>712</c:v>
                </c:pt>
                <c:pt idx="32">
                  <c:v>610</c:v>
                </c:pt>
                <c:pt idx="33">
                  <c:v>284</c:v>
                </c:pt>
                <c:pt idx="34">
                  <c:v>733</c:v>
                </c:pt>
                <c:pt idx="35">
                  <c:v>901</c:v>
                </c:pt>
                <c:pt idx="36">
                  <c:v>967</c:v>
                </c:pt>
                <c:pt idx="37">
                  <c:v>538</c:v>
                </c:pt>
                <c:pt idx="38">
                  <c:v>924</c:v>
                </c:pt>
                <c:pt idx="39">
                  <c:v>873</c:v>
                </c:pt>
                <c:pt idx="40">
                  <c:v>804</c:v>
                </c:pt>
                <c:pt idx="41">
                  <c:v>965</c:v>
                </c:pt>
                <c:pt idx="42">
                  <c:v>837</c:v>
                </c:pt>
                <c:pt idx="43">
                  <c:v>954</c:v>
                </c:pt>
                <c:pt idx="44">
                  <c:v>414</c:v>
                </c:pt>
                <c:pt idx="45">
                  <c:v>713</c:v>
                </c:pt>
                <c:pt idx="46">
                  <c:v>850</c:v>
                </c:pt>
                <c:pt idx="47">
                  <c:v>729</c:v>
                </c:pt>
                <c:pt idx="48">
                  <c:v>921</c:v>
                </c:pt>
                <c:pt idx="49">
                  <c:v>817</c:v>
                </c:pt>
                <c:pt idx="50">
                  <c:v>783</c:v>
                </c:pt>
                <c:pt idx="51">
                  <c:v>581</c:v>
                </c:pt>
                <c:pt idx="52">
                  <c:v>766</c:v>
                </c:pt>
                <c:pt idx="53">
                  <c:v>178</c:v>
                </c:pt>
                <c:pt idx="54">
                  <c:v>181</c:v>
                </c:pt>
                <c:pt idx="55">
                  <c:v>73</c:v>
                </c:pt>
                <c:pt idx="56">
                  <c:v>19</c:v>
                </c:pt>
                <c:pt idx="57">
                  <c:v>26</c:v>
                </c:pt>
                <c:pt idx="58">
                  <c:v>193</c:v>
                </c:pt>
                <c:pt idx="59">
                  <c:v>204</c:v>
                </c:pt>
                <c:pt idx="60">
                  <c:v>304</c:v>
                </c:pt>
                <c:pt idx="61">
                  <c:v>107</c:v>
                </c:pt>
                <c:pt idx="62">
                  <c:v>268</c:v>
                </c:pt>
                <c:pt idx="63">
                  <c:v>400</c:v>
                </c:pt>
                <c:pt idx="64">
                  <c:v>401</c:v>
                </c:pt>
                <c:pt idx="65">
                  <c:v>378</c:v>
                </c:pt>
                <c:pt idx="66">
                  <c:v>494</c:v>
                </c:pt>
                <c:pt idx="67">
                  <c:v>366</c:v>
                </c:pt>
                <c:pt idx="68">
                  <c:v>490</c:v>
                </c:pt>
                <c:pt idx="69">
                  <c:v>522</c:v>
                </c:pt>
                <c:pt idx="70">
                  <c:v>531</c:v>
                </c:pt>
                <c:pt idx="71">
                  <c:v>635</c:v>
                </c:pt>
                <c:pt idx="72">
                  <c:v>445</c:v>
                </c:pt>
                <c:pt idx="73">
                  <c:v>583</c:v>
                </c:pt>
                <c:pt idx="74">
                  <c:v>559</c:v>
                </c:pt>
                <c:pt idx="75">
                  <c:v>496</c:v>
                </c:pt>
                <c:pt idx="76">
                  <c:v>587</c:v>
                </c:pt>
                <c:pt idx="77">
                  <c:v>696</c:v>
                </c:pt>
                <c:pt idx="78">
                  <c:v>801</c:v>
                </c:pt>
                <c:pt idx="79">
                  <c:v>458</c:v>
                </c:pt>
                <c:pt idx="80">
                  <c:v>589</c:v>
                </c:pt>
                <c:pt idx="81">
                  <c:v>599</c:v>
                </c:pt>
                <c:pt idx="82">
                  <c:v>614</c:v>
                </c:pt>
                <c:pt idx="83">
                  <c:v>581</c:v>
                </c:pt>
                <c:pt idx="84">
                  <c:v>554</c:v>
                </c:pt>
                <c:pt idx="85">
                  <c:v>640</c:v>
                </c:pt>
                <c:pt idx="86">
                  <c:v>100</c:v>
                </c:pt>
                <c:pt idx="87">
                  <c:v>122</c:v>
                </c:pt>
                <c:pt idx="88">
                  <c:v>348</c:v>
                </c:pt>
                <c:pt idx="89">
                  <c:v>599</c:v>
                </c:pt>
                <c:pt idx="90">
                  <c:v>630</c:v>
                </c:pt>
                <c:pt idx="91">
                  <c:v>676</c:v>
                </c:pt>
                <c:pt idx="92">
                  <c:v>762</c:v>
                </c:pt>
                <c:pt idx="93">
                  <c:v>424</c:v>
                </c:pt>
                <c:pt idx="94">
                  <c:v>635</c:v>
                </c:pt>
                <c:pt idx="95">
                  <c:v>641</c:v>
                </c:pt>
                <c:pt idx="96">
                  <c:v>394</c:v>
                </c:pt>
                <c:pt idx="97">
                  <c:v>485</c:v>
                </c:pt>
                <c:pt idx="98">
                  <c:v>371</c:v>
                </c:pt>
                <c:pt idx="99">
                  <c:v>590</c:v>
                </c:pt>
                <c:pt idx="100">
                  <c:v>449</c:v>
                </c:pt>
                <c:pt idx="101">
                  <c:v>591</c:v>
                </c:pt>
                <c:pt idx="102">
                  <c:v>517</c:v>
                </c:pt>
                <c:pt idx="103">
                  <c:v>423</c:v>
                </c:pt>
                <c:pt idx="104">
                  <c:v>738</c:v>
                </c:pt>
                <c:pt idx="105">
                  <c:v>594</c:v>
                </c:pt>
                <c:pt idx="106">
                  <c:v>499</c:v>
                </c:pt>
                <c:pt idx="107">
                  <c:v>694</c:v>
                </c:pt>
                <c:pt idx="108">
                  <c:v>512</c:v>
                </c:pt>
                <c:pt idx="109">
                  <c:v>596</c:v>
                </c:pt>
                <c:pt idx="110">
                  <c:v>552</c:v>
                </c:pt>
                <c:pt idx="111">
                  <c:v>649</c:v>
                </c:pt>
                <c:pt idx="112">
                  <c:v>589</c:v>
                </c:pt>
                <c:pt idx="113">
                  <c:v>447</c:v>
                </c:pt>
                <c:pt idx="114">
                  <c:v>114</c:v>
                </c:pt>
                <c:pt idx="115">
                  <c:v>240</c:v>
                </c:pt>
                <c:pt idx="116">
                  <c:v>529</c:v>
                </c:pt>
                <c:pt idx="117">
                  <c:v>465</c:v>
                </c:pt>
                <c:pt idx="118">
                  <c:v>587</c:v>
                </c:pt>
                <c:pt idx="119">
                  <c:v>452</c:v>
                </c:pt>
                <c:pt idx="120">
                  <c:v>573</c:v>
                </c:pt>
                <c:pt idx="121">
                  <c:v>784</c:v>
                </c:pt>
                <c:pt idx="122">
                  <c:v>553</c:v>
                </c:pt>
                <c:pt idx="123">
                  <c:v>671</c:v>
                </c:pt>
                <c:pt idx="124">
                  <c:v>572</c:v>
                </c:pt>
                <c:pt idx="125">
                  <c:v>148</c:v>
                </c:pt>
                <c:pt idx="126">
                  <c:v>540</c:v>
                </c:pt>
                <c:pt idx="127">
                  <c:v>395</c:v>
                </c:pt>
                <c:pt idx="128">
                  <c:v>147</c:v>
                </c:pt>
                <c:pt idx="129">
                  <c:v>251</c:v>
                </c:pt>
                <c:pt idx="130">
                  <c:v>77</c:v>
                </c:pt>
                <c:pt idx="131">
                  <c:v>132</c:v>
                </c:pt>
                <c:pt idx="132">
                  <c:v>93</c:v>
                </c:pt>
                <c:pt idx="133">
                  <c:v>65</c:v>
                </c:pt>
                <c:pt idx="134">
                  <c:v>311</c:v>
                </c:pt>
                <c:pt idx="135">
                  <c:v>436</c:v>
                </c:pt>
                <c:pt idx="136">
                  <c:v>433</c:v>
                </c:pt>
                <c:pt idx="137">
                  <c:v>633</c:v>
                </c:pt>
                <c:pt idx="138">
                  <c:v>503</c:v>
                </c:pt>
                <c:pt idx="139">
                  <c:v>572</c:v>
                </c:pt>
                <c:pt idx="140">
                  <c:v>24</c:v>
                </c:pt>
                <c:pt idx="141">
                  <c:v>89</c:v>
                </c:pt>
                <c:pt idx="142">
                  <c:v>281</c:v>
                </c:pt>
                <c:pt idx="143">
                  <c:v>311</c:v>
                </c:pt>
                <c:pt idx="144">
                  <c:v>575</c:v>
                </c:pt>
                <c:pt idx="145">
                  <c:v>460</c:v>
                </c:pt>
                <c:pt idx="146">
                  <c:v>583</c:v>
                </c:pt>
                <c:pt idx="147">
                  <c:v>746</c:v>
                </c:pt>
                <c:pt idx="148">
                  <c:v>853</c:v>
                </c:pt>
                <c:pt idx="149">
                  <c:v>429</c:v>
                </c:pt>
                <c:pt idx="150">
                  <c:v>319</c:v>
                </c:pt>
                <c:pt idx="151">
                  <c:v>476</c:v>
                </c:pt>
                <c:pt idx="152">
                  <c:v>501</c:v>
                </c:pt>
                <c:pt idx="153">
                  <c:v>598</c:v>
                </c:pt>
                <c:pt idx="154">
                  <c:v>496</c:v>
                </c:pt>
                <c:pt idx="155">
                  <c:v>829</c:v>
                </c:pt>
                <c:pt idx="156">
                  <c:v>307</c:v>
                </c:pt>
                <c:pt idx="157">
                  <c:v>509</c:v>
                </c:pt>
                <c:pt idx="158">
                  <c:v>496</c:v>
                </c:pt>
                <c:pt idx="159">
                  <c:v>393</c:v>
                </c:pt>
                <c:pt idx="160">
                  <c:v>514</c:v>
                </c:pt>
                <c:pt idx="161">
                  <c:v>470</c:v>
                </c:pt>
                <c:pt idx="162">
                  <c:v>498</c:v>
                </c:pt>
                <c:pt idx="163">
                  <c:v>356</c:v>
                </c:pt>
                <c:pt idx="164">
                  <c:v>504</c:v>
                </c:pt>
                <c:pt idx="165">
                  <c:v>589</c:v>
                </c:pt>
                <c:pt idx="166">
                  <c:v>513</c:v>
                </c:pt>
                <c:pt idx="167">
                  <c:v>529</c:v>
                </c:pt>
                <c:pt idx="168">
                  <c:v>587</c:v>
                </c:pt>
                <c:pt idx="169">
                  <c:v>673</c:v>
                </c:pt>
                <c:pt idx="170">
                  <c:v>421</c:v>
                </c:pt>
                <c:pt idx="171">
                  <c:v>522</c:v>
                </c:pt>
                <c:pt idx="172">
                  <c:v>510</c:v>
                </c:pt>
                <c:pt idx="173">
                  <c:v>501</c:v>
                </c:pt>
                <c:pt idx="174">
                  <c:v>577</c:v>
                </c:pt>
                <c:pt idx="175">
                  <c:v>574</c:v>
                </c:pt>
                <c:pt idx="176">
                  <c:v>630</c:v>
                </c:pt>
                <c:pt idx="177">
                  <c:v>304</c:v>
                </c:pt>
                <c:pt idx="178">
                  <c:v>444</c:v>
                </c:pt>
                <c:pt idx="179">
                  <c:v>421</c:v>
                </c:pt>
                <c:pt idx="180">
                  <c:v>398</c:v>
                </c:pt>
                <c:pt idx="181">
                  <c:v>129</c:v>
                </c:pt>
                <c:pt idx="182">
                  <c:v>52</c:v>
                </c:pt>
                <c:pt idx="183">
                  <c:v>538</c:v>
                </c:pt>
                <c:pt idx="184">
                  <c:v>271</c:v>
                </c:pt>
                <c:pt idx="185">
                  <c:v>54</c:v>
                </c:pt>
                <c:pt idx="186">
                  <c:v>192</c:v>
                </c:pt>
                <c:pt idx="187">
                  <c:v>446</c:v>
                </c:pt>
                <c:pt idx="188">
                  <c:v>479</c:v>
                </c:pt>
                <c:pt idx="189">
                  <c:v>570</c:v>
                </c:pt>
                <c:pt idx="190">
                  <c:v>591</c:v>
                </c:pt>
                <c:pt idx="191">
                  <c:v>355</c:v>
                </c:pt>
                <c:pt idx="192">
                  <c:v>398</c:v>
                </c:pt>
                <c:pt idx="193">
                  <c:v>425</c:v>
                </c:pt>
                <c:pt idx="194">
                  <c:v>426</c:v>
                </c:pt>
                <c:pt idx="195">
                  <c:v>501</c:v>
                </c:pt>
                <c:pt idx="196">
                  <c:v>561</c:v>
                </c:pt>
                <c:pt idx="197">
                  <c:v>640</c:v>
                </c:pt>
                <c:pt idx="198">
                  <c:v>393</c:v>
                </c:pt>
                <c:pt idx="199">
                  <c:v>451</c:v>
                </c:pt>
                <c:pt idx="200">
                  <c:v>418</c:v>
                </c:pt>
                <c:pt idx="201">
                  <c:v>174</c:v>
                </c:pt>
                <c:pt idx="202">
                  <c:v>88</c:v>
                </c:pt>
                <c:pt idx="203">
                  <c:v>594</c:v>
                </c:pt>
                <c:pt idx="204">
                  <c:v>846</c:v>
                </c:pt>
                <c:pt idx="205">
                  <c:v>408</c:v>
                </c:pt>
                <c:pt idx="206">
                  <c:v>506</c:v>
                </c:pt>
                <c:pt idx="207">
                  <c:v>540</c:v>
                </c:pt>
                <c:pt idx="208">
                  <c:v>537</c:v>
                </c:pt>
                <c:pt idx="209">
                  <c:v>551</c:v>
                </c:pt>
                <c:pt idx="210">
                  <c:v>591</c:v>
                </c:pt>
                <c:pt idx="211">
                  <c:v>627</c:v>
                </c:pt>
                <c:pt idx="212">
                  <c:v>251</c:v>
                </c:pt>
                <c:pt idx="213">
                  <c:v>500</c:v>
                </c:pt>
                <c:pt idx="214">
                  <c:v>582</c:v>
                </c:pt>
                <c:pt idx="215">
                  <c:v>497</c:v>
                </c:pt>
                <c:pt idx="216">
                  <c:v>626</c:v>
                </c:pt>
                <c:pt idx="217">
                  <c:v>306</c:v>
                </c:pt>
                <c:pt idx="218">
                  <c:v>748</c:v>
                </c:pt>
                <c:pt idx="219">
                  <c:v>385</c:v>
                </c:pt>
                <c:pt idx="220">
                  <c:v>443</c:v>
                </c:pt>
                <c:pt idx="221">
                  <c:v>763</c:v>
                </c:pt>
                <c:pt idx="222">
                  <c:v>455</c:v>
                </c:pt>
                <c:pt idx="223">
                  <c:v>526</c:v>
                </c:pt>
                <c:pt idx="224">
                  <c:v>159</c:v>
                </c:pt>
                <c:pt idx="225">
                  <c:v>684</c:v>
                </c:pt>
                <c:pt idx="226">
                  <c:v>401</c:v>
                </c:pt>
                <c:pt idx="227">
                  <c:v>510</c:v>
                </c:pt>
                <c:pt idx="228">
                  <c:v>559</c:v>
                </c:pt>
                <c:pt idx="229">
                  <c:v>490</c:v>
                </c:pt>
                <c:pt idx="230">
                  <c:v>581</c:v>
                </c:pt>
                <c:pt idx="231">
                  <c:v>575</c:v>
                </c:pt>
                <c:pt idx="232">
                  <c:v>717</c:v>
                </c:pt>
                <c:pt idx="233">
                  <c:v>420</c:v>
                </c:pt>
                <c:pt idx="234">
                  <c:v>565</c:v>
                </c:pt>
                <c:pt idx="235">
                  <c:v>434</c:v>
                </c:pt>
                <c:pt idx="236">
                  <c:v>472</c:v>
                </c:pt>
                <c:pt idx="237">
                  <c:v>571</c:v>
                </c:pt>
                <c:pt idx="238">
                  <c:v>578</c:v>
                </c:pt>
                <c:pt idx="239">
                  <c:v>686</c:v>
                </c:pt>
                <c:pt idx="240">
                  <c:v>326</c:v>
                </c:pt>
                <c:pt idx="241">
                  <c:v>413</c:v>
                </c:pt>
                <c:pt idx="242">
                  <c:v>274</c:v>
                </c:pt>
                <c:pt idx="243">
                  <c:v>495</c:v>
                </c:pt>
                <c:pt idx="244">
                  <c:v>479</c:v>
                </c:pt>
                <c:pt idx="245">
                  <c:v>104</c:v>
                </c:pt>
                <c:pt idx="246">
                  <c:v>639</c:v>
                </c:pt>
                <c:pt idx="247">
                  <c:v>397</c:v>
                </c:pt>
                <c:pt idx="248">
                  <c:v>612</c:v>
                </c:pt>
                <c:pt idx="249">
                  <c:v>521</c:v>
                </c:pt>
                <c:pt idx="250">
                  <c:v>497</c:v>
                </c:pt>
                <c:pt idx="251">
                  <c:v>143</c:v>
                </c:pt>
                <c:pt idx="252">
                  <c:v>610</c:v>
                </c:pt>
                <c:pt idx="253">
                  <c:v>742</c:v>
                </c:pt>
                <c:pt idx="254">
                  <c:v>409</c:v>
                </c:pt>
                <c:pt idx="255">
                  <c:v>588</c:v>
                </c:pt>
                <c:pt idx="256">
                  <c:v>529</c:v>
                </c:pt>
                <c:pt idx="257">
                  <c:v>544</c:v>
                </c:pt>
                <c:pt idx="258">
                  <c:v>192</c:v>
                </c:pt>
                <c:pt idx="259">
                  <c:v>565</c:v>
                </c:pt>
                <c:pt idx="260">
                  <c:v>772</c:v>
                </c:pt>
                <c:pt idx="261">
                  <c:v>371</c:v>
                </c:pt>
                <c:pt idx="262">
                  <c:v>497</c:v>
                </c:pt>
                <c:pt idx="263">
                  <c:v>476</c:v>
                </c:pt>
                <c:pt idx="264">
                  <c:v>118</c:v>
                </c:pt>
                <c:pt idx="265">
                  <c:v>352</c:v>
                </c:pt>
                <c:pt idx="266">
                  <c:v>653</c:v>
                </c:pt>
                <c:pt idx="267">
                  <c:v>777</c:v>
                </c:pt>
                <c:pt idx="268">
                  <c:v>373</c:v>
                </c:pt>
                <c:pt idx="269">
                  <c:v>514</c:v>
                </c:pt>
                <c:pt idx="270">
                  <c:v>369</c:v>
                </c:pt>
                <c:pt idx="271">
                  <c:v>444</c:v>
                </c:pt>
                <c:pt idx="272">
                  <c:v>617</c:v>
                </c:pt>
                <c:pt idx="273">
                  <c:v>696</c:v>
                </c:pt>
                <c:pt idx="274">
                  <c:v>213</c:v>
                </c:pt>
                <c:pt idx="275">
                  <c:v>803</c:v>
                </c:pt>
                <c:pt idx="276">
                  <c:v>528</c:v>
                </c:pt>
                <c:pt idx="277">
                  <c:v>675</c:v>
                </c:pt>
                <c:pt idx="278">
                  <c:v>386</c:v>
                </c:pt>
                <c:pt idx="279">
                  <c:v>675</c:v>
                </c:pt>
                <c:pt idx="280">
                  <c:v>664</c:v>
                </c:pt>
                <c:pt idx="281">
                  <c:v>307</c:v>
                </c:pt>
                <c:pt idx="282">
                  <c:v>468</c:v>
                </c:pt>
                <c:pt idx="283">
                  <c:v>686</c:v>
                </c:pt>
                <c:pt idx="284">
                  <c:v>655</c:v>
                </c:pt>
                <c:pt idx="285">
                  <c:v>608</c:v>
                </c:pt>
                <c:pt idx="286">
                  <c:v>693</c:v>
                </c:pt>
                <c:pt idx="287">
                  <c:v>732</c:v>
                </c:pt>
                <c:pt idx="288">
                  <c:v>886</c:v>
                </c:pt>
                <c:pt idx="289">
                  <c:v>447</c:v>
                </c:pt>
                <c:pt idx="290">
                  <c:v>607</c:v>
                </c:pt>
                <c:pt idx="291">
                  <c:v>408</c:v>
                </c:pt>
                <c:pt idx="292">
                  <c:v>252</c:v>
                </c:pt>
                <c:pt idx="293">
                  <c:v>330</c:v>
                </c:pt>
                <c:pt idx="294">
                  <c:v>120</c:v>
                </c:pt>
                <c:pt idx="295">
                  <c:v>42</c:v>
                </c:pt>
                <c:pt idx="296">
                  <c:v>511</c:v>
                </c:pt>
                <c:pt idx="297">
                  <c:v>242</c:v>
                </c:pt>
                <c:pt idx="298">
                  <c:v>727</c:v>
                </c:pt>
                <c:pt idx="299">
                  <c:v>559</c:v>
                </c:pt>
                <c:pt idx="300">
                  <c:v>668</c:v>
                </c:pt>
                <c:pt idx="301">
                  <c:v>686</c:v>
                </c:pt>
                <c:pt idx="302">
                  <c:v>611</c:v>
                </c:pt>
                <c:pt idx="303">
                  <c:v>470</c:v>
                </c:pt>
                <c:pt idx="304">
                  <c:v>135</c:v>
                </c:pt>
                <c:pt idx="305">
                  <c:v>588</c:v>
                </c:pt>
                <c:pt idx="306">
                  <c:v>651</c:v>
                </c:pt>
                <c:pt idx="307">
                  <c:v>716</c:v>
                </c:pt>
                <c:pt idx="308">
                  <c:v>670</c:v>
                </c:pt>
                <c:pt idx="309">
                  <c:v>760</c:v>
                </c:pt>
                <c:pt idx="310">
                  <c:v>477</c:v>
                </c:pt>
                <c:pt idx="311">
                  <c:v>591</c:v>
                </c:pt>
                <c:pt idx="312">
                  <c:v>708</c:v>
                </c:pt>
                <c:pt idx="313">
                  <c:v>553</c:v>
                </c:pt>
                <c:pt idx="314">
                  <c:v>738</c:v>
                </c:pt>
                <c:pt idx="315">
                  <c:v>620</c:v>
                </c:pt>
                <c:pt idx="316">
                  <c:v>656</c:v>
                </c:pt>
                <c:pt idx="317">
                  <c:v>427</c:v>
                </c:pt>
                <c:pt idx="318">
                  <c:v>580</c:v>
                </c:pt>
                <c:pt idx="319">
                  <c:v>635</c:v>
                </c:pt>
                <c:pt idx="320">
                  <c:v>603</c:v>
                </c:pt>
                <c:pt idx="321">
                  <c:v>697</c:v>
                </c:pt>
                <c:pt idx="322">
                  <c:v>669</c:v>
                </c:pt>
                <c:pt idx="323">
                  <c:v>634</c:v>
                </c:pt>
                <c:pt idx="324">
                  <c:v>434</c:v>
                </c:pt>
                <c:pt idx="325">
                  <c:v>637</c:v>
                </c:pt>
                <c:pt idx="326">
                  <c:v>687</c:v>
                </c:pt>
                <c:pt idx="327">
                  <c:v>605</c:v>
                </c:pt>
                <c:pt idx="328">
                  <c:v>672</c:v>
                </c:pt>
                <c:pt idx="329">
                  <c:v>612</c:v>
                </c:pt>
                <c:pt idx="330">
                  <c:v>613</c:v>
                </c:pt>
                <c:pt idx="331">
                  <c:v>360</c:v>
                </c:pt>
                <c:pt idx="332">
                  <c:v>514</c:v>
                </c:pt>
                <c:pt idx="333">
                  <c:v>404</c:v>
                </c:pt>
                <c:pt idx="334">
                  <c:v>65</c:v>
                </c:pt>
                <c:pt idx="335">
                  <c:v>415</c:v>
                </c:pt>
                <c:pt idx="336">
                  <c:v>607</c:v>
                </c:pt>
                <c:pt idx="337">
                  <c:v>635</c:v>
                </c:pt>
                <c:pt idx="338">
                  <c:v>425</c:v>
                </c:pt>
                <c:pt idx="339">
                  <c:v>556</c:v>
                </c:pt>
                <c:pt idx="340">
                  <c:v>541</c:v>
                </c:pt>
                <c:pt idx="341">
                  <c:v>195</c:v>
                </c:pt>
                <c:pt idx="342">
                  <c:v>582</c:v>
                </c:pt>
                <c:pt idx="343">
                  <c:v>611</c:v>
                </c:pt>
                <c:pt idx="344">
                  <c:v>661</c:v>
                </c:pt>
                <c:pt idx="345">
                  <c:v>429</c:v>
                </c:pt>
                <c:pt idx="346">
                  <c:v>548</c:v>
                </c:pt>
                <c:pt idx="347">
                  <c:v>534</c:v>
                </c:pt>
                <c:pt idx="348">
                  <c:v>513</c:v>
                </c:pt>
                <c:pt idx="349">
                  <c:v>576</c:v>
                </c:pt>
                <c:pt idx="350">
                  <c:v>631</c:v>
                </c:pt>
                <c:pt idx="351">
                  <c:v>585</c:v>
                </c:pt>
                <c:pt idx="352">
                  <c:v>398</c:v>
                </c:pt>
                <c:pt idx="353">
                  <c:v>613</c:v>
                </c:pt>
                <c:pt idx="354">
                  <c:v>597</c:v>
                </c:pt>
                <c:pt idx="355">
                  <c:v>595</c:v>
                </c:pt>
                <c:pt idx="356">
                  <c:v>687</c:v>
                </c:pt>
                <c:pt idx="357">
                  <c:v>617</c:v>
                </c:pt>
                <c:pt idx="358">
                  <c:v>290</c:v>
                </c:pt>
                <c:pt idx="359">
                  <c:v>380</c:v>
                </c:pt>
                <c:pt idx="360">
                  <c:v>410</c:v>
                </c:pt>
                <c:pt idx="361">
                  <c:v>550</c:v>
                </c:pt>
                <c:pt idx="362">
                  <c:v>486</c:v>
                </c:pt>
                <c:pt idx="363">
                  <c:v>430</c:v>
                </c:pt>
                <c:pt idx="364">
                  <c:v>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7A-476F-BCF1-74525ADC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473824"/>
        <c:axId val="773471904"/>
      </c:scatterChart>
      <c:valAx>
        <c:axId val="77347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Max Temp(C)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71904"/>
        <c:crosses val="autoZero"/>
        <c:crossBetween val="midCat"/>
      </c:valAx>
      <c:valAx>
        <c:axId val="7734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Number of Cyclist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7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4.1A.2). Exposure vs Cyclist 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JackPesch Bridge)</a:t>
            </a:r>
            <a:endParaRPr lang="en-AU" sz="3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Weather_data!$AT$2:$AT$366</c:f>
              <c:numCache>
                <c:formatCode>General</c:formatCode>
                <c:ptCount val="365"/>
                <c:pt idx="0">
                  <c:v>10.1</c:v>
                </c:pt>
                <c:pt idx="1">
                  <c:v>17.8</c:v>
                </c:pt>
                <c:pt idx="2">
                  <c:v>23.4</c:v>
                </c:pt>
                <c:pt idx="3">
                  <c:v>26.4</c:v>
                </c:pt>
                <c:pt idx="4">
                  <c:v>23.8</c:v>
                </c:pt>
                <c:pt idx="5">
                  <c:v>16.8</c:v>
                </c:pt>
                <c:pt idx="6">
                  <c:v>19.600000000000001</c:v>
                </c:pt>
                <c:pt idx="7">
                  <c:v>12.6</c:v>
                </c:pt>
                <c:pt idx="8">
                  <c:v>20</c:v>
                </c:pt>
                <c:pt idx="9">
                  <c:v>27</c:v>
                </c:pt>
                <c:pt idx="10">
                  <c:v>25.5</c:v>
                </c:pt>
                <c:pt idx="11">
                  <c:v>24.5</c:v>
                </c:pt>
                <c:pt idx="12">
                  <c:v>27.3</c:v>
                </c:pt>
                <c:pt idx="13">
                  <c:v>26.2</c:v>
                </c:pt>
                <c:pt idx="14">
                  <c:v>28.4</c:v>
                </c:pt>
                <c:pt idx="15">
                  <c:v>29.4</c:v>
                </c:pt>
                <c:pt idx="16">
                  <c:v>27.3</c:v>
                </c:pt>
                <c:pt idx="17">
                  <c:v>26.4</c:v>
                </c:pt>
                <c:pt idx="18">
                  <c:v>24.3</c:v>
                </c:pt>
                <c:pt idx="19">
                  <c:v>12.8</c:v>
                </c:pt>
                <c:pt idx="20">
                  <c:v>22.1</c:v>
                </c:pt>
                <c:pt idx="21">
                  <c:v>20</c:v>
                </c:pt>
                <c:pt idx="22">
                  <c:v>21.6</c:v>
                </c:pt>
                <c:pt idx="23">
                  <c:v>23.2</c:v>
                </c:pt>
                <c:pt idx="24">
                  <c:v>20.8</c:v>
                </c:pt>
                <c:pt idx="25">
                  <c:v>13</c:v>
                </c:pt>
                <c:pt idx="26">
                  <c:v>16.3</c:v>
                </c:pt>
                <c:pt idx="27">
                  <c:v>22</c:v>
                </c:pt>
                <c:pt idx="28">
                  <c:v>24.2</c:v>
                </c:pt>
                <c:pt idx="29">
                  <c:v>25.1</c:v>
                </c:pt>
                <c:pt idx="30">
                  <c:v>24.2</c:v>
                </c:pt>
                <c:pt idx="31">
                  <c:v>26.1</c:v>
                </c:pt>
                <c:pt idx="32">
                  <c:v>14.9</c:v>
                </c:pt>
                <c:pt idx="33">
                  <c:v>10.199999999999999</c:v>
                </c:pt>
                <c:pt idx="34">
                  <c:v>21</c:v>
                </c:pt>
                <c:pt idx="35">
                  <c:v>19.8</c:v>
                </c:pt>
                <c:pt idx="36">
                  <c:v>20.399999999999999</c:v>
                </c:pt>
                <c:pt idx="37">
                  <c:v>26.7</c:v>
                </c:pt>
                <c:pt idx="38">
                  <c:v>25.7</c:v>
                </c:pt>
                <c:pt idx="39">
                  <c:v>27.4</c:v>
                </c:pt>
                <c:pt idx="40">
                  <c:v>28.6</c:v>
                </c:pt>
                <c:pt idx="41">
                  <c:v>27</c:v>
                </c:pt>
                <c:pt idx="42">
                  <c:v>19.5</c:v>
                </c:pt>
                <c:pt idx="43">
                  <c:v>27</c:v>
                </c:pt>
                <c:pt idx="44">
                  <c:v>17.399999999999999</c:v>
                </c:pt>
                <c:pt idx="45">
                  <c:v>14.9</c:v>
                </c:pt>
                <c:pt idx="46">
                  <c:v>24.6</c:v>
                </c:pt>
                <c:pt idx="47">
                  <c:v>24.8</c:v>
                </c:pt>
                <c:pt idx="48">
                  <c:v>26.9</c:v>
                </c:pt>
                <c:pt idx="49">
                  <c:v>22</c:v>
                </c:pt>
                <c:pt idx="50">
                  <c:v>18.100000000000001</c:v>
                </c:pt>
                <c:pt idx="51">
                  <c:v>23.1</c:v>
                </c:pt>
                <c:pt idx="52">
                  <c:v>18</c:v>
                </c:pt>
                <c:pt idx="53">
                  <c:v>17.399999999999999</c:v>
                </c:pt>
                <c:pt idx="54">
                  <c:v>16.600000000000001</c:v>
                </c:pt>
                <c:pt idx="55">
                  <c:v>1.6</c:v>
                </c:pt>
                <c:pt idx="56">
                  <c:v>3.8</c:v>
                </c:pt>
                <c:pt idx="57">
                  <c:v>17.399999999999999</c:v>
                </c:pt>
                <c:pt idx="58">
                  <c:v>20.5</c:v>
                </c:pt>
                <c:pt idx="59">
                  <c:v>23.7</c:v>
                </c:pt>
                <c:pt idx="60">
                  <c:v>24</c:v>
                </c:pt>
                <c:pt idx="61">
                  <c:v>12.5</c:v>
                </c:pt>
                <c:pt idx="62">
                  <c:v>13.1</c:v>
                </c:pt>
                <c:pt idx="63">
                  <c:v>24.3</c:v>
                </c:pt>
                <c:pt idx="64">
                  <c:v>15.4</c:v>
                </c:pt>
                <c:pt idx="65">
                  <c:v>24.9</c:v>
                </c:pt>
                <c:pt idx="66">
                  <c:v>23.9</c:v>
                </c:pt>
                <c:pt idx="67">
                  <c:v>20.8</c:v>
                </c:pt>
                <c:pt idx="68">
                  <c:v>15.6</c:v>
                </c:pt>
                <c:pt idx="69">
                  <c:v>14.7</c:v>
                </c:pt>
                <c:pt idx="70">
                  <c:v>18</c:v>
                </c:pt>
                <c:pt idx="71">
                  <c:v>21.9</c:v>
                </c:pt>
                <c:pt idx="72">
                  <c:v>21.2</c:v>
                </c:pt>
                <c:pt idx="73">
                  <c:v>14.6</c:v>
                </c:pt>
                <c:pt idx="74">
                  <c:v>19.8</c:v>
                </c:pt>
                <c:pt idx="75">
                  <c:v>20.5</c:v>
                </c:pt>
                <c:pt idx="76">
                  <c:v>22.1</c:v>
                </c:pt>
                <c:pt idx="77">
                  <c:v>21.4</c:v>
                </c:pt>
                <c:pt idx="78">
                  <c:v>19.899999999999999</c:v>
                </c:pt>
                <c:pt idx="79">
                  <c:v>22.5</c:v>
                </c:pt>
                <c:pt idx="80">
                  <c:v>22.8</c:v>
                </c:pt>
                <c:pt idx="81">
                  <c:v>23</c:v>
                </c:pt>
                <c:pt idx="82">
                  <c:v>22.1</c:v>
                </c:pt>
                <c:pt idx="83">
                  <c:v>21.3</c:v>
                </c:pt>
                <c:pt idx="84">
                  <c:v>15.9</c:v>
                </c:pt>
                <c:pt idx="85">
                  <c:v>19.100000000000001</c:v>
                </c:pt>
                <c:pt idx="86">
                  <c:v>3.9</c:v>
                </c:pt>
                <c:pt idx="87">
                  <c:v>9</c:v>
                </c:pt>
                <c:pt idx="88">
                  <c:v>14.2</c:v>
                </c:pt>
                <c:pt idx="89">
                  <c:v>15.8</c:v>
                </c:pt>
                <c:pt idx="90">
                  <c:v>21.4</c:v>
                </c:pt>
                <c:pt idx="91">
                  <c:v>18.3</c:v>
                </c:pt>
                <c:pt idx="92">
                  <c:v>20.8</c:v>
                </c:pt>
                <c:pt idx="93">
                  <c:v>16.7</c:v>
                </c:pt>
                <c:pt idx="94">
                  <c:v>20.9</c:v>
                </c:pt>
                <c:pt idx="95">
                  <c:v>18.600000000000001</c:v>
                </c:pt>
                <c:pt idx="96">
                  <c:v>19.3</c:v>
                </c:pt>
                <c:pt idx="97">
                  <c:v>18.5</c:v>
                </c:pt>
                <c:pt idx="98">
                  <c:v>15.3</c:v>
                </c:pt>
                <c:pt idx="99">
                  <c:v>18.899999999999999</c:v>
                </c:pt>
                <c:pt idx="100">
                  <c:v>19.100000000000001</c:v>
                </c:pt>
                <c:pt idx="101">
                  <c:v>16.8</c:v>
                </c:pt>
                <c:pt idx="102">
                  <c:v>14.7</c:v>
                </c:pt>
                <c:pt idx="103">
                  <c:v>16.899999999999999</c:v>
                </c:pt>
                <c:pt idx="104">
                  <c:v>16.8</c:v>
                </c:pt>
                <c:pt idx="105">
                  <c:v>16.3</c:v>
                </c:pt>
                <c:pt idx="106">
                  <c:v>15.6</c:v>
                </c:pt>
                <c:pt idx="107">
                  <c:v>16.5</c:v>
                </c:pt>
                <c:pt idx="108">
                  <c:v>18.2</c:v>
                </c:pt>
                <c:pt idx="109">
                  <c:v>18.600000000000001</c:v>
                </c:pt>
                <c:pt idx="110">
                  <c:v>16.2</c:v>
                </c:pt>
                <c:pt idx="111">
                  <c:v>14.9</c:v>
                </c:pt>
                <c:pt idx="112">
                  <c:v>16.8</c:v>
                </c:pt>
                <c:pt idx="113">
                  <c:v>13.6</c:v>
                </c:pt>
                <c:pt idx="114">
                  <c:v>11.3</c:v>
                </c:pt>
                <c:pt idx="115">
                  <c:v>7.9</c:v>
                </c:pt>
                <c:pt idx="116">
                  <c:v>15.3</c:v>
                </c:pt>
                <c:pt idx="117">
                  <c:v>15.1</c:v>
                </c:pt>
                <c:pt idx="118">
                  <c:v>14.6</c:v>
                </c:pt>
                <c:pt idx="119">
                  <c:v>16.100000000000001</c:v>
                </c:pt>
                <c:pt idx="120">
                  <c:v>10.3</c:v>
                </c:pt>
                <c:pt idx="121">
                  <c:v>14.7</c:v>
                </c:pt>
                <c:pt idx="122">
                  <c:v>15.1</c:v>
                </c:pt>
                <c:pt idx="123">
                  <c:v>13</c:v>
                </c:pt>
                <c:pt idx="124">
                  <c:v>15.4</c:v>
                </c:pt>
                <c:pt idx="125">
                  <c:v>11.5</c:v>
                </c:pt>
                <c:pt idx="126">
                  <c:v>9.8000000000000007</c:v>
                </c:pt>
                <c:pt idx="127">
                  <c:v>10.5</c:v>
                </c:pt>
                <c:pt idx="128">
                  <c:v>5.3</c:v>
                </c:pt>
                <c:pt idx="129">
                  <c:v>9</c:v>
                </c:pt>
                <c:pt idx="130">
                  <c:v>5.2</c:v>
                </c:pt>
                <c:pt idx="131">
                  <c:v>6.1</c:v>
                </c:pt>
                <c:pt idx="132">
                  <c:v>6.1</c:v>
                </c:pt>
                <c:pt idx="133">
                  <c:v>6.6</c:v>
                </c:pt>
                <c:pt idx="134">
                  <c:v>11.7</c:v>
                </c:pt>
                <c:pt idx="135">
                  <c:v>10.8</c:v>
                </c:pt>
                <c:pt idx="136">
                  <c:v>8.9</c:v>
                </c:pt>
                <c:pt idx="137">
                  <c:v>12</c:v>
                </c:pt>
                <c:pt idx="138">
                  <c:v>9.4</c:v>
                </c:pt>
                <c:pt idx="139">
                  <c:v>6.5</c:v>
                </c:pt>
                <c:pt idx="140">
                  <c:v>5</c:v>
                </c:pt>
                <c:pt idx="141">
                  <c:v>8.1999999999999993</c:v>
                </c:pt>
                <c:pt idx="142">
                  <c:v>10.7</c:v>
                </c:pt>
                <c:pt idx="143">
                  <c:v>14.1</c:v>
                </c:pt>
                <c:pt idx="144">
                  <c:v>11.2</c:v>
                </c:pt>
                <c:pt idx="145">
                  <c:v>13.7</c:v>
                </c:pt>
                <c:pt idx="146">
                  <c:v>13.2</c:v>
                </c:pt>
                <c:pt idx="147">
                  <c:v>14.6</c:v>
                </c:pt>
                <c:pt idx="148">
                  <c:v>14.5</c:v>
                </c:pt>
                <c:pt idx="149">
                  <c:v>8.4</c:v>
                </c:pt>
                <c:pt idx="150">
                  <c:v>13.4</c:v>
                </c:pt>
                <c:pt idx="151">
                  <c:v>14.4</c:v>
                </c:pt>
                <c:pt idx="152">
                  <c:v>14.3</c:v>
                </c:pt>
                <c:pt idx="153">
                  <c:v>12.7</c:v>
                </c:pt>
                <c:pt idx="154">
                  <c:v>13.9</c:v>
                </c:pt>
                <c:pt idx="155">
                  <c:v>14.2</c:v>
                </c:pt>
                <c:pt idx="156">
                  <c:v>11.1</c:v>
                </c:pt>
                <c:pt idx="157">
                  <c:v>7.9</c:v>
                </c:pt>
                <c:pt idx="158">
                  <c:v>14.1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13.5</c:v>
                </c:pt>
                <c:pt idx="163">
                  <c:v>13.7</c:v>
                </c:pt>
                <c:pt idx="164">
                  <c:v>11.9</c:v>
                </c:pt>
                <c:pt idx="165">
                  <c:v>13.8</c:v>
                </c:pt>
                <c:pt idx="166">
                  <c:v>13.8</c:v>
                </c:pt>
                <c:pt idx="167">
                  <c:v>13.9</c:v>
                </c:pt>
                <c:pt idx="168">
                  <c:v>12.6</c:v>
                </c:pt>
                <c:pt idx="169">
                  <c:v>13.3</c:v>
                </c:pt>
                <c:pt idx="170">
                  <c:v>12.5</c:v>
                </c:pt>
                <c:pt idx="171">
                  <c:v>13.9</c:v>
                </c:pt>
                <c:pt idx="172">
                  <c:v>13.9</c:v>
                </c:pt>
                <c:pt idx="173">
                  <c:v>13.9</c:v>
                </c:pt>
                <c:pt idx="174">
                  <c:v>13.9</c:v>
                </c:pt>
                <c:pt idx="175">
                  <c:v>13.9</c:v>
                </c:pt>
                <c:pt idx="176">
                  <c:v>13.9</c:v>
                </c:pt>
                <c:pt idx="177">
                  <c:v>13.3</c:v>
                </c:pt>
                <c:pt idx="178">
                  <c:v>12.8</c:v>
                </c:pt>
                <c:pt idx="179">
                  <c:v>9.5</c:v>
                </c:pt>
                <c:pt idx="180">
                  <c:v>11.7</c:v>
                </c:pt>
                <c:pt idx="181">
                  <c:v>5</c:v>
                </c:pt>
                <c:pt idx="182">
                  <c:v>5.2</c:v>
                </c:pt>
                <c:pt idx="183">
                  <c:v>12.5</c:v>
                </c:pt>
                <c:pt idx="184">
                  <c:v>5.5</c:v>
                </c:pt>
                <c:pt idx="185">
                  <c:v>5.3</c:v>
                </c:pt>
                <c:pt idx="186">
                  <c:v>11.9</c:v>
                </c:pt>
                <c:pt idx="187">
                  <c:v>14.2</c:v>
                </c:pt>
                <c:pt idx="188">
                  <c:v>14.3</c:v>
                </c:pt>
                <c:pt idx="189">
                  <c:v>14.3</c:v>
                </c:pt>
                <c:pt idx="190">
                  <c:v>12.9</c:v>
                </c:pt>
                <c:pt idx="191">
                  <c:v>12.2</c:v>
                </c:pt>
                <c:pt idx="192">
                  <c:v>11.1</c:v>
                </c:pt>
                <c:pt idx="193">
                  <c:v>14.2</c:v>
                </c:pt>
                <c:pt idx="194">
                  <c:v>14.6</c:v>
                </c:pt>
                <c:pt idx="195">
                  <c:v>14.5</c:v>
                </c:pt>
                <c:pt idx="196">
                  <c:v>14.7</c:v>
                </c:pt>
                <c:pt idx="197">
                  <c:v>13.7</c:v>
                </c:pt>
                <c:pt idx="198">
                  <c:v>14.7</c:v>
                </c:pt>
                <c:pt idx="199">
                  <c:v>13.4</c:v>
                </c:pt>
                <c:pt idx="200">
                  <c:v>8.5</c:v>
                </c:pt>
                <c:pt idx="201">
                  <c:v>7</c:v>
                </c:pt>
                <c:pt idx="202">
                  <c:v>7</c:v>
                </c:pt>
                <c:pt idx="203">
                  <c:v>11.6</c:v>
                </c:pt>
                <c:pt idx="204">
                  <c:v>14.7</c:v>
                </c:pt>
                <c:pt idx="205">
                  <c:v>15</c:v>
                </c:pt>
                <c:pt idx="206">
                  <c:v>15.2</c:v>
                </c:pt>
                <c:pt idx="207">
                  <c:v>15.6</c:v>
                </c:pt>
                <c:pt idx="208">
                  <c:v>15.7</c:v>
                </c:pt>
                <c:pt idx="209">
                  <c:v>15.7</c:v>
                </c:pt>
                <c:pt idx="210">
                  <c:v>15.2</c:v>
                </c:pt>
                <c:pt idx="211">
                  <c:v>12.3</c:v>
                </c:pt>
                <c:pt idx="212">
                  <c:v>11.1</c:v>
                </c:pt>
                <c:pt idx="213">
                  <c:v>15.4</c:v>
                </c:pt>
                <c:pt idx="214">
                  <c:v>14.8</c:v>
                </c:pt>
                <c:pt idx="215">
                  <c:v>15.2</c:v>
                </c:pt>
                <c:pt idx="216">
                  <c:v>10.6</c:v>
                </c:pt>
                <c:pt idx="217">
                  <c:v>9.1999999999999993</c:v>
                </c:pt>
                <c:pt idx="218">
                  <c:v>16.600000000000001</c:v>
                </c:pt>
                <c:pt idx="219">
                  <c:v>16.8</c:v>
                </c:pt>
                <c:pt idx="220">
                  <c:v>15.9</c:v>
                </c:pt>
                <c:pt idx="221">
                  <c:v>16.399999999999999</c:v>
                </c:pt>
                <c:pt idx="222">
                  <c:v>13.6</c:v>
                </c:pt>
                <c:pt idx="223">
                  <c:v>10</c:v>
                </c:pt>
                <c:pt idx="224">
                  <c:v>5.4</c:v>
                </c:pt>
                <c:pt idx="225">
                  <c:v>17.5</c:v>
                </c:pt>
                <c:pt idx="226">
                  <c:v>17.600000000000001</c:v>
                </c:pt>
                <c:pt idx="227">
                  <c:v>16.600000000000001</c:v>
                </c:pt>
                <c:pt idx="228">
                  <c:v>17.8</c:v>
                </c:pt>
                <c:pt idx="229">
                  <c:v>18</c:v>
                </c:pt>
                <c:pt idx="230">
                  <c:v>18.100000000000001</c:v>
                </c:pt>
                <c:pt idx="231">
                  <c:v>18.3</c:v>
                </c:pt>
                <c:pt idx="232">
                  <c:v>14.6</c:v>
                </c:pt>
                <c:pt idx="233">
                  <c:v>15.7</c:v>
                </c:pt>
                <c:pt idx="234">
                  <c:v>17.100000000000001</c:v>
                </c:pt>
                <c:pt idx="235">
                  <c:v>18.8</c:v>
                </c:pt>
                <c:pt idx="236">
                  <c:v>18.899999999999999</c:v>
                </c:pt>
                <c:pt idx="237">
                  <c:v>15.4</c:v>
                </c:pt>
                <c:pt idx="238">
                  <c:v>17.8</c:v>
                </c:pt>
                <c:pt idx="239">
                  <c:v>15.4</c:v>
                </c:pt>
                <c:pt idx="240">
                  <c:v>15.6</c:v>
                </c:pt>
                <c:pt idx="241">
                  <c:v>8.5</c:v>
                </c:pt>
                <c:pt idx="242">
                  <c:v>15.9</c:v>
                </c:pt>
                <c:pt idx="243">
                  <c:v>15.9</c:v>
                </c:pt>
                <c:pt idx="244">
                  <c:v>8.5</c:v>
                </c:pt>
                <c:pt idx="245">
                  <c:v>10.1</c:v>
                </c:pt>
                <c:pt idx="246">
                  <c:v>16.100000000000001</c:v>
                </c:pt>
                <c:pt idx="247">
                  <c:v>13.9</c:v>
                </c:pt>
                <c:pt idx="248">
                  <c:v>17.100000000000001</c:v>
                </c:pt>
                <c:pt idx="249">
                  <c:v>13.5</c:v>
                </c:pt>
                <c:pt idx="250">
                  <c:v>15</c:v>
                </c:pt>
                <c:pt idx="251">
                  <c:v>12.3</c:v>
                </c:pt>
                <c:pt idx="252">
                  <c:v>19.8</c:v>
                </c:pt>
                <c:pt idx="253">
                  <c:v>19.899999999999999</c:v>
                </c:pt>
                <c:pt idx="254">
                  <c:v>13.1</c:v>
                </c:pt>
                <c:pt idx="255">
                  <c:v>21.6</c:v>
                </c:pt>
                <c:pt idx="256">
                  <c:v>19.899999999999999</c:v>
                </c:pt>
                <c:pt idx="257">
                  <c:v>14.1</c:v>
                </c:pt>
                <c:pt idx="258">
                  <c:v>7.9</c:v>
                </c:pt>
                <c:pt idx="259">
                  <c:v>18.7</c:v>
                </c:pt>
                <c:pt idx="260">
                  <c:v>22.4</c:v>
                </c:pt>
                <c:pt idx="261">
                  <c:v>22.5</c:v>
                </c:pt>
                <c:pt idx="262">
                  <c:v>22.7</c:v>
                </c:pt>
                <c:pt idx="263">
                  <c:v>10.5</c:v>
                </c:pt>
                <c:pt idx="264">
                  <c:v>10.7</c:v>
                </c:pt>
                <c:pt idx="265">
                  <c:v>19.3</c:v>
                </c:pt>
                <c:pt idx="266">
                  <c:v>22.8</c:v>
                </c:pt>
                <c:pt idx="267">
                  <c:v>23.6</c:v>
                </c:pt>
                <c:pt idx="268">
                  <c:v>22.6</c:v>
                </c:pt>
                <c:pt idx="269">
                  <c:v>12.8</c:v>
                </c:pt>
                <c:pt idx="270">
                  <c:v>14.8</c:v>
                </c:pt>
                <c:pt idx="271">
                  <c:v>13.8</c:v>
                </c:pt>
                <c:pt idx="272">
                  <c:v>23.6</c:v>
                </c:pt>
                <c:pt idx="273">
                  <c:v>14.7</c:v>
                </c:pt>
                <c:pt idx="274">
                  <c:v>10.1</c:v>
                </c:pt>
                <c:pt idx="275">
                  <c:v>21.8</c:v>
                </c:pt>
                <c:pt idx="276">
                  <c:v>17.100000000000001</c:v>
                </c:pt>
                <c:pt idx="277">
                  <c:v>19.600000000000001</c:v>
                </c:pt>
                <c:pt idx="278">
                  <c:v>9.6999999999999993</c:v>
                </c:pt>
                <c:pt idx="279">
                  <c:v>17.3</c:v>
                </c:pt>
                <c:pt idx="280">
                  <c:v>18.7</c:v>
                </c:pt>
                <c:pt idx="281">
                  <c:v>14.9</c:v>
                </c:pt>
                <c:pt idx="282">
                  <c:v>10.8</c:v>
                </c:pt>
                <c:pt idx="283">
                  <c:v>20.3</c:v>
                </c:pt>
                <c:pt idx="284">
                  <c:v>18.899999999999999</c:v>
                </c:pt>
                <c:pt idx="285">
                  <c:v>21.8</c:v>
                </c:pt>
                <c:pt idx="286">
                  <c:v>18.2</c:v>
                </c:pt>
                <c:pt idx="287">
                  <c:v>20.399999999999999</c:v>
                </c:pt>
                <c:pt idx="288">
                  <c:v>17.100000000000001</c:v>
                </c:pt>
                <c:pt idx="289">
                  <c:v>13.5</c:v>
                </c:pt>
                <c:pt idx="290">
                  <c:v>18.2</c:v>
                </c:pt>
                <c:pt idx="291">
                  <c:v>15.6</c:v>
                </c:pt>
                <c:pt idx="292">
                  <c:v>19.8</c:v>
                </c:pt>
                <c:pt idx="293">
                  <c:v>18.2</c:v>
                </c:pt>
                <c:pt idx="294">
                  <c:v>14</c:v>
                </c:pt>
                <c:pt idx="295">
                  <c:v>10.3</c:v>
                </c:pt>
                <c:pt idx="296">
                  <c:v>26.3</c:v>
                </c:pt>
                <c:pt idx="297">
                  <c:v>15.8</c:v>
                </c:pt>
                <c:pt idx="298">
                  <c:v>26.7</c:v>
                </c:pt>
                <c:pt idx="299">
                  <c:v>23.2</c:v>
                </c:pt>
                <c:pt idx="300">
                  <c:v>28.2</c:v>
                </c:pt>
                <c:pt idx="301">
                  <c:v>28.3</c:v>
                </c:pt>
                <c:pt idx="302">
                  <c:v>28.5</c:v>
                </c:pt>
                <c:pt idx="303">
                  <c:v>23</c:v>
                </c:pt>
                <c:pt idx="304">
                  <c:v>10.6</c:v>
                </c:pt>
                <c:pt idx="305">
                  <c:v>28.8</c:v>
                </c:pt>
                <c:pt idx="306">
                  <c:v>28.9</c:v>
                </c:pt>
                <c:pt idx="307">
                  <c:v>28.5</c:v>
                </c:pt>
                <c:pt idx="308">
                  <c:v>23.1</c:v>
                </c:pt>
                <c:pt idx="309">
                  <c:v>25.7</c:v>
                </c:pt>
                <c:pt idx="310">
                  <c:v>27.6</c:v>
                </c:pt>
                <c:pt idx="311">
                  <c:v>23.2</c:v>
                </c:pt>
                <c:pt idx="312">
                  <c:v>21.6</c:v>
                </c:pt>
                <c:pt idx="313">
                  <c:v>26.3</c:v>
                </c:pt>
                <c:pt idx="314">
                  <c:v>29.3</c:v>
                </c:pt>
                <c:pt idx="315">
                  <c:v>17.399999999999999</c:v>
                </c:pt>
                <c:pt idx="316">
                  <c:v>29.5</c:v>
                </c:pt>
                <c:pt idx="317">
                  <c:v>21.8</c:v>
                </c:pt>
                <c:pt idx="318">
                  <c:v>28.6</c:v>
                </c:pt>
                <c:pt idx="319">
                  <c:v>29.6</c:v>
                </c:pt>
                <c:pt idx="320">
                  <c:v>23.7</c:v>
                </c:pt>
                <c:pt idx="321">
                  <c:v>27.4</c:v>
                </c:pt>
                <c:pt idx="322">
                  <c:v>29.1</c:v>
                </c:pt>
                <c:pt idx="323">
                  <c:v>17.2</c:v>
                </c:pt>
                <c:pt idx="324">
                  <c:v>27</c:v>
                </c:pt>
                <c:pt idx="325">
                  <c:v>26</c:v>
                </c:pt>
                <c:pt idx="326">
                  <c:v>18.5</c:v>
                </c:pt>
                <c:pt idx="327">
                  <c:v>17.3</c:v>
                </c:pt>
                <c:pt idx="328">
                  <c:v>30.4</c:v>
                </c:pt>
                <c:pt idx="329">
                  <c:v>30.7</c:v>
                </c:pt>
                <c:pt idx="330">
                  <c:v>18.899999999999999</c:v>
                </c:pt>
                <c:pt idx="331">
                  <c:v>25.6</c:v>
                </c:pt>
                <c:pt idx="332">
                  <c:v>12.8</c:v>
                </c:pt>
                <c:pt idx="333">
                  <c:v>9</c:v>
                </c:pt>
                <c:pt idx="334">
                  <c:v>15.6</c:v>
                </c:pt>
                <c:pt idx="335">
                  <c:v>17.8</c:v>
                </c:pt>
                <c:pt idx="336">
                  <c:v>23.3</c:v>
                </c:pt>
                <c:pt idx="337">
                  <c:v>21.9</c:v>
                </c:pt>
                <c:pt idx="338">
                  <c:v>28.7</c:v>
                </c:pt>
                <c:pt idx="339">
                  <c:v>30.9</c:v>
                </c:pt>
                <c:pt idx="340">
                  <c:v>30.9</c:v>
                </c:pt>
                <c:pt idx="341">
                  <c:v>29</c:v>
                </c:pt>
                <c:pt idx="342">
                  <c:v>21.5</c:v>
                </c:pt>
                <c:pt idx="343">
                  <c:v>19.600000000000001</c:v>
                </c:pt>
                <c:pt idx="344">
                  <c:v>28.9</c:v>
                </c:pt>
                <c:pt idx="345">
                  <c:v>27.5</c:v>
                </c:pt>
                <c:pt idx="346">
                  <c:v>21.3</c:v>
                </c:pt>
                <c:pt idx="347">
                  <c:v>30.6</c:v>
                </c:pt>
                <c:pt idx="348">
                  <c:v>25.3</c:v>
                </c:pt>
                <c:pt idx="349">
                  <c:v>25.7</c:v>
                </c:pt>
                <c:pt idx="350">
                  <c:v>24.8</c:v>
                </c:pt>
                <c:pt idx="351">
                  <c:v>25</c:v>
                </c:pt>
                <c:pt idx="352">
                  <c:v>24.6</c:v>
                </c:pt>
                <c:pt idx="353">
                  <c:v>27.1</c:v>
                </c:pt>
                <c:pt idx="354">
                  <c:v>23.6</c:v>
                </c:pt>
                <c:pt idx="355">
                  <c:v>40</c:v>
                </c:pt>
                <c:pt idx="356">
                  <c:v>27.2</c:v>
                </c:pt>
                <c:pt idx="357">
                  <c:v>16</c:v>
                </c:pt>
                <c:pt idx="358">
                  <c:v>16.8</c:v>
                </c:pt>
                <c:pt idx="359">
                  <c:v>26.8</c:v>
                </c:pt>
                <c:pt idx="360">
                  <c:v>22.3</c:v>
                </c:pt>
                <c:pt idx="361">
                  <c:v>22.1</c:v>
                </c:pt>
                <c:pt idx="362">
                  <c:v>15.9</c:v>
                </c:pt>
                <c:pt idx="363">
                  <c:v>17.100000000000001</c:v>
                </c:pt>
                <c:pt idx="364">
                  <c:v>22.9</c:v>
                </c:pt>
              </c:numCache>
            </c:numRef>
          </c:xVal>
          <c:yVal>
            <c:numRef>
              <c:f>Weather_data!$AU$2:$AU$366</c:f>
              <c:numCache>
                <c:formatCode>General</c:formatCode>
                <c:ptCount val="365"/>
                <c:pt idx="0">
                  <c:v>142</c:v>
                </c:pt>
                <c:pt idx="1">
                  <c:v>829</c:v>
                </c:pt>
                <c:pt idx="2">
                  <c:v>801</c:v>
                </c:pt>
                <c:pt idx="3">
                  <c:v>578</c:v>
                </c:pt>
                <c:pt idx="4">
                  <c:v>588</c:v>
                </c:pt>
                <c:pt idx="5">
                  <c:v>371</c:v>
                </c:pt>
                <c:pt idx="6">
                  <c:v>349</c:v>
                </c:pt>
                <c:pt idx="7">
                  <c:v>211</c:v>
                </c:pt>
                <c:pt idx="8">
                  <c:v>879</c:v>
                </c:pt>
                <c:pt idx="9">
                  <c:v>515</c:v>
                </c:pt>
                <c:pt idx="10">
                  <c:v>604</c:v>
                </c:pt>
                <c:pt idx="11">
                  <c:v>707</c:v>
                </c:pt>
                <c:pt idx="12">
                  <c:v>668</c:v>
                </c:pt>
                <c:pt idx="13">
                  <c:v>772</c:v>
                </c:pt>
                <c:pt idx="14">
                  <c:v>785</c:v>
                </c:pt>
                <c:pt idx="15">
                  <c:v>730</c:v>
                </c:pt>
                <c:pt idx="16">
                  <c:v>526</c:v>
                </c:pt>
                <c:pt idx="17">
                  <c:v>681</c:v>
                </c:pt>
                <c:pt idx="18">
                  <c:v>688</c:v>
                </c:pt>
                <c:pt idx="19">
                  <c:v>121</c:v>
                </c:pt>
                <c:pt idx="20">
                  <c:v>728</c:v>
                </c:pt>
                <c:pt idx="21">
                  <c:v>740</c:v>
                </c:pt>
                <c:pt idx="22">
                  <c:v>1058</c:v>
                </c:pt>
                <c:pt idx="23">
                  <c:v>540</c:v>
                </c:pt>
                <c:pt idx="24">
                  <c:v>712</c:v>
                </c:pt>
                <c:pt idx="25">
                  <c:v>716</c:v>
                </c:pt>
                <c:pt idx="26">
                  <c:v>547</c:v>
                </c:pt>
                <c:pt idx="27">
                  <c:v>410</c:v>
                </c:pt>
                <c:pt idx="28">
                  <c:v>774</c:v>
                </c:pt>
                <c:pt idx="29">
                  <c:v>1020</c:v>
                </c:pt>
                <c:pt idx="30">
                  <c:v>496</c:v>
                </c:pt>
                <c:pt idx="31">
                  <c:v>712</c:v>
                </c:pt>
                <c:pt idx="32">
                  <c:v>610</c:v>
                </c:pt>
                <c:pt idx="33">
                  <c:v>284</c:v>
                </c:pt>
                <c:pt idx="34">
                  <c:v>733</c:v>
                </c:pt>
                <c:pt idx="35">
                  <c:v>901</c:v>
                </c:pt>
                <c:pt idx="36">
                  <c:v>967</c:v>
                </c:pt>
                <c:pt idx="37">
                  <c:v>538</c:v>
                </c:pt>
                <c:pt idx="38">
                  <c:v>924</c:v>
                </c:pt>
                <c:pt idx="39">
                  <c:v>873</c:v>
                </c:pt>
                <c:pt idx="40">
                  <c:v>804</c:v>
                </c:pt>
                <c:pt idx="41">
                  <c:v>965</c:v>
                </c:pt>
                <c:pt idx="42">
                  <c:v>837</c:v>
                </c:pt>
                <c:pt idx="43">
                  <c:v>954</c:v>
                </c:pt>
                <c:pt idx="44">
                  <c:v>414</c:v>
                </c:pt>
                <c:pt idx="45">
                  <c:v>713</c:v>
                </c:pt>
                <c:pt idx="46">
                  <c:v>850</c:v>
                </c:pt>
                <c:pt idx="47">
                  <c:v>729</c:v>
                </c:pt>
                <c:pt idx="48">
                  <c:v>921</c:v>
                </c:pt>
                <c:pt idx="49">
                  <c:v>817</c:v>
                </c:pt>
                <c:pt idx="50">
                  <c:v>783</c:v>
                </c:pt>
                <c:pt idx="51">
                  <c:v>581</c:v>
                </c:pt>
                <c:pt idx="52">
                  <c:v>766</c:v>
                </c:pt>
                <c:pt idx="53">
                  <c:v>178</c:v>
                </c:pt>
                <c:pt idx="54">
                  <c:v>181</c:v>
                </c:pt>
                <c:pt idx="55">
                  <c:v>73</c:v>
                </c:pt>
                <c:pt idx="56">
                  <c:v>19</c:v>
                </c:pt>
                <c:pt idx="57">
                  <c:v>26</c:v>
                </c:pt>
                <c:pt idx="58">
                  <c:v>193</c:v>
                </c:pt>
                <c:pt idx="59">
                  <c:v>204</c:v>
                </c:pt>
                <c:pt idx="60">
                  <c:v>304</c:v>
                </c:pt>
                <c:pt idx="61">
                  <c:v>107</c:v>
                </c:pt>
                <c:pt idx="62">
                  <c:v>268</c:v>
                </c:pt>
                <c:pt idx="63">
                  <c:v>400</c:v>
                </c:pt>
                <c:pt idx="64">
                  <c:v>401</c:v>
                </c:pt>
                <c:pt idx="65">
                  <c:v>378</c:v>
                </c:pt>
                <c:pt idx="66">
                  <c:v>494</c:v>
                </c:pt>
                <c:pt idx="67">
                  <c:v>366</c:v>
                </c:pt>
                <c:pt idx="68">
                  <c:v>490</c:v>
                </c:pt>
                <c:pt idx="69">
                  <c:v>522</c:v>
                </c:pt>
                <c:pt idx="70">
                  <c:v>531</c:v>
                </c:pt>
                <c:pt idx="71">
                  <c:v>635</c:v>
                </c:pt>
                <c:pt idx="72">
                  <c:v>445</c:v>
                </c:pt>
                <c:pt idx="73">
                  <c:v>583</c:v>
                </c:pt>
                <c:pt idx="74">
                  <c:v>559</c:v>
                </c:pt>
                <c:pt idx="75">
                  <c:v>496</c:v>
                </c:pt>
                <c:pt idx="76">
                  <c:v>587</c:v>
                </c:pt>
                <c:pt idx="77">
                  <c:v>696</c:v>
                </c:pt>
                <c:pt idx="78">
                  <c:v>801</c:v>
                </c:pt>
                <c:pt idx="79">
                  <c:v>458</c:v>
                </c:pt>
                <c:pt idx="80">
                  <c:v>589</c:v>
                </c:pt>
                <c:pt idx="81">
                  <c:v>599</c:v>
                </c:pt>
                <c:pt idx="82">
                  <c:v>614</c:v>
                </c:pt>
                <c:pt idx="83">
                  <c:v>581</c:v>
                </c:pt>
                <c:pt idx="84">
                  <c:v>554</c:v>
                </c:pt>
                <c:pt idx="85">
                  <c:v>640</c:v>
                </c:pt>
                <c:pt idx="86">
                  <c:v>100</c:v>
                </c:pt>
                <c:pt idx="87">
                  <c:v>122</c:v>
                </c:pt>
                <c:pt idx="88">
                  <c:v>348</c:v>
                </c:pt>
                <c:pt idx="89">
                  <c:v>599</c:v>
                </c:pt>
                <c:pt idx="90">
                  <c:v>630</c:v>
                </c:pt>
                <c:pt idx="91">
                  <c:v>676</c:v>
                </c:pt>
                <c:pt idx="92">
                  <c:v>762</c:v>
                </c:pt>
                <c:pt idx="93">
                  <c:v>424</c:v>
                </c:pt>
                <c:pt idx="94">
                  <c:v>635</c:v>
                </c:pt>
                <c:pt idx="95">
                  <c:v>641</c:v>
                </c:pt>
                <c:pt idx="96">
                  <c:v>394</c:v>
                </c:pt>
                <c:pt idx="97">
                  <c:v>485</c:v>
                </c:pt>
                <c:pt idx="98">
                  <c:v>371</c:v>
                </c:pt>
                <c:pt idx="99">
                  <c:v>590</c:v>
                </c:pt>
                <c:pt idx="100">
                  <c:v>449</c:v>
                </c:pt>
                <c:pt idx="101">
                  <c:v>591</c:v>
                </c:pt>
                <c:pt idx="102">
                  <c:v>517</c:v>
                </c:pt>
                <c:pt idx="103">
                  <c:v>423</c:v>
                </c:pt>
                <c:pt idx="104">
                  <c:v>738</c:v>
                </c:pt>
                <c:pt idx="105">
                  <c:v>594</c:v>
                </c:pt>
                <c:pt idx="106">
                  <c:v>499</c:v>
                </c:pt>
                <c:pt idx="107">
                  <c:v>694</c:v>
                </c:pt>
                <c:pt idx="108">
                  <c:v>512</c:v>
                </c:pt>
                <c:pt idx="109">
                  <c:v>596</c:v>
                </c:pt>
                <c:pt idx="110">
                  <c:v>552</c:v>
                </c:pt>
                <c:pt idx="111">
                  <c:v>649</c:v>
                </c:pt>
                <c:pt idx="112">
                  <c:v>589</c:v>
                </c:pt>
                <c:pt idx="113">
                  <c:v>447</c:v>
                </c:pt>
                <c:pt idx="114">
                  <c:v>114</c:v>
                </c:pt>
                <c:pt idx="115">
                  <c:v>240</c:v>
                </c:pt>
                <c:pt idx="116">
                  <c:v>529</c:v>
                </c:pt>
                <c:pt idx="117">
                  <c:v>465</c:v>
                </c:pt>
                <c:pt idx="118">
                  <c:v>587</c:v>
                </c:pt>
                <c:pt idx="119">
                  <c:v>452</c:v>
                </c:pt>
                <c:pt idx="120">
                  <c:v>573</c:v>
                </c:pt>
                <c:pt idx="121">
                  <c:v>784</c:v>
                </c:pt>
                <c:pt idx="122">
                  <c:v>553</c:v>
                </c:pt>
                <c:pt idx="123">
                  <c:v>671</c:v>
                </c:pt>
                <c:pt idx="124">
                  <c:v>572</c:v>
                </c:pt>
                <c:pt idx="125">
                  <c:v>148</c:v>
                </c:pt>
                <c:pt idx="126">
                  <c:v>540</c:v>
                </c:pt>
                <c:pt idx="127">
                  <c:v>395</c:v>
                </c:pt>
                <c:pt idx="128">
                  <c:v>147</c:v>
                </c:pt>
                <c:pt idx="129">
                  <c:v>251</c:v>
                </c:pt>
                <c:pt idx="130">
                  <c:v>77</c:v>
                </c:pt>
                <c:pt idx="131">
                  <c:v>132</c:v>
                </c:pt>
                <c:pt idx="132">
                  <c:v>93</c:v>
                </c:pt>
                <c:pt idx="133">
                  <c:v>65</c:v>
                </c:pt>
                <c:pt idx="134">
                  <c:v>311</c:v>
                </c:pt>
                <c:pt idx="135">
                  <c:v>436</c:v>
                </c:pt>
                <c:pt idx="136">
                  <c:v>433</c:v>
                </c:pt>
                <c:pt idx="137">
                  <c:v>633</c:v>
                </c:pt>
                <c:pt idx="138">
                  <c:v>503</c:v>
                </c:pt>
                <c:pt idx="139">
                  <c:v>572</c:v>
                </c:pt>
                <c:pt idx="140">
                  <c:v>24</c:v>
                </c:pt>
                <c:pt idx="141">
                  <c:v>89</c:v>
                </c:pt>
                <c:pt idx="142">
                  <c:v>281</c:v>
                </c:pt>
                <c:pt idx="143">
                  <c:v>311</c:v>
                </c:pt>
                <c:pt idx="144">
                  <c:v>575</c:v>
                </c:pt>
                <c:pt idx="145">
                  <c:v>460</c:v>
                </c:pt>
                <c:pt idx="146">
                  <c:v>583</c:v>
                </c:pt>
                <c:pt idx="147">
                  <c:v>746</c:v>
                </c:pt>
                <c:pt idx="148">
                  <c:v>853</c:v>
                </c:pt>
                <c:pt idx="149">
                  <c:v>429</c:v>
                </c:pt>
                <c:pt idx="150">
                  <c:v>319</c:v>
                </c:pt>
                <c:pt idx="151">
                  <c:v>476</c:v>
                </c:pt>
                <c:pt idx="152">
                  <c:v>501</c:v>
                </c:pt>
                <c:pt idx="153">
                  <c:v>598</c:v>
                </c:pt>
                <c:pt idx="154">
                  <c:v>496</c:v>
                </c:pt>
                <c:pt idx="155">
                  <c:v>829</c:v>
                </c:pt>
                <c:pt idx="156">
                  <c:v>307</c:v>
                </c:pt>
                <c:pt idx="157">
                  <c:v>509</c:v>
                </c:pt>
                <c:pt idx="158">
                  <c:v>496</c:v>
                </c:pt>
                <c:pt idx="159">
                  <c:v>393</c:v>
                </c:pt>
                <c:pt idx="160">
                  <c:v>514</c:v>
                </c:pt>
                <c:pt idx="161">
                  <c:v>470</c:v>
                </c:pt>
                <c:pt idx="162">
                  <c:v>498</c:v>
                </c:pt>
                <c:pt idx="163">
                  <c:v>356</c:v>
                </c:pt>
                <c:pt idx="164">
                  <c:v>504</c:v>
                </c:pt>
                <c:pt idx="165">
                  <c:v>589</c:v>
                </c:pt>
                <c:pt idx="166">
                  <c:v>513</c:v>
                </c:pt>
                <c:pt idx="167">
                  <c:v>529</c:v>
                </c:pt>
                <c:pt idx="168">
                  <c:v>587</c:v>
                </c:pt>
                <c:pt idx="169">
                  <c:v>673</c:v>
                </c:pt>
                <c:pt idx="170">
                  <c:v>421</c:v>
                </c:pt>
                <c:pt idx="171">
                  <c:v>522</c:v>
                </c:pt>
                <c:pt idx="172">
                  <c:v>510</c:v>
                </c:pt>
                <c:pt idx="173">
                  <c:v>501</c:v>
                </c:pt>
                <c:pt idx="174">
                  <c:v>577</c:v>
                </c:pt>
                <c:pt idx="175">
                  <c:v>574</c:v>
                </c:pt>
                <c:pt idx="176">
                  <c:v>630</c:v>
                </c:pt>
                <c:pt idx="177">
                  <c:v>304</c:v>
                </c:pt>
                <c:pt idx="178">
                  <c:v>444</c:v>
                </c:pt>
                <c:pt idx="179">
                  <c:v>421</c:v>
                </c:pt>
                <c:pt idx="180">
                  <c:v>398</c:v>
                </c:pt>
                <c:pt idx="181">
                  <c:v>129</c:v>
                </c:pt>
                <c:pt idx="182">
                  <c:v>52</c:v>
                </c:pt>
                <c:pt idx="183">
                  <c:v>538</c:v>
                </c:pt>
                <c:pt idx="184">
                  <c:v>271</c:v>
                </c:pt>
                <c:pt idx="185">
                  <c:v>54</c:v>
                </c:pt>
                <c:pt idx="186">
                  <c:v>192</c:v>
                </c:pt>
                <c:pt idx="187">
                  <c:v>446</c:v>
                </c:pt>
                <c:pt idx="188">
                  <c:v>479</c:v>
                </c:pt>
                <c:pt idx="189">
                  <c:v>570</c:v>
                </c:pt>
                <c:pt idx="190">
                  <c:v>591</c:v>
                </c:pt>
                <c:pt idx="191">
                  <c:v>355</c:v>
                </c:pt>
                <c:pt idx="192">
                  <c:v>398</c:v>
                </c:pt>
                <c:pt idx="193">
                  <c:v>425</c:v>
                </c:pt>
                <c:pt idx="194">
                  <c:v>426</c:v>
                </c:pt>
                <c:pt idx="195">
                  <c:v>501</c:v>
                </c:pt>
                <c:pt idx="196">
                  <c:v>561</c:v>
                </c:pt>
                <c:pt idx="197">
                  <c:v>640</c:v>
                </c:pt>
                <c:pt idx="198">
                  <c:v>393</c:v>
                </c:pt>
                <c:pt idx="199">
                  <c:v>451</c:v>
                </c:pt>
                <c:pt idx="200">
                  <c:v>418</c:v>
                </c:pt>
                <c:pt idx="201">
                  <c:v>174</c:v>
                </c:pt>
                <c:pt idx="202">
                  <c:v>88</c:v>
                </c:pt>
                <c:pt idx="203">
                  <c:v>594</c:v>
                </c:pt>
                <c:pt idx="204">
                  <c:v>846</c:v>
                </c:pt>
                <c:pt idx="205">
                  <c:v>408</c:v>
                </c:pt>
                <c:pt idx="206">
                  <c:v>506</c:v>
                </c:pt>
                <c:pt idx="207">
                  <c:v>540</c:v>
                </c:pt>
                <c:pt idx="208">
                  <c:v>537</c:v>
                </c:pt>
                <c:pt idx="209">
                  <c:v>551</c:v>
                </c:pt>
                <c:pt idx="210">
                  <c:v>591</c:v>
                </c:pt>
                <c:pt idx="211">
                  <c:v>627</c:v>
                </c:pt>
                <c:pt idx="212">
                  <c:v>251</c:v>
                </c:pt>
                <c:pt idx="213">
                  <c:v>500</c:v>
                </c:pt>
                <c:pt idx="214">
                  <c:v>582</c:v>
                </c:pt>
                <c:pt idx="215">
                  <c:v>497</c:v>
                </c:pt>
                <c:pt idx="216">
                  <c:v>626</c:v>
                </c:pt>
                <c:pt idx="217">
                  <c:v>306</c:v>
                </c:pt>
                <c:pt idx="218">
                  <c:v>748</c:v>
                </c:pt>
                <c:pt idx="219">
                  <c:v>385</c:v>
                </c:pt>
                <c:pt idx="220">
                  <c:v>443</c:v>
                </c:pt>
                <c:pt idx="221">
                  <c:v>763</c:v>
                </c:pt>
                <c:pt idx="222">
                  <c:v>455</c:v>
                </c:pt>
                <c:pt idx="223">
                  <c:v>526</c:v>
                </c:pt>
                <c:pt idx="224">
                  <c:v>159</c:v>
                </c:pt>
                <c:pt idx="225">
                  <c:v>684</c:v>
                </c:pt>
                <c:pt idx="226">
                  <c:v>401</c:v>
                </c:pt>
                <c:pt idx="227">
                  <c:v>510</c:v>
                </c:pt>
                <c:pt idx="228">
                  <c:v>559</c:v>
                </c:pt>
                <c:pt idx="229">
                  <c:v>490</c:v>
                </c:pt>
                <c:pt idx="230">
                  <c:v>581</c:v>
                </c:pt>
                <c:pt idx="231">
                  <c:v>575</c:v>
                </c:pt>
                <c:pt idx="232">
                  <c:v>717</c:v>
                </c:pt>
                <c:pt idx="233">
                  <c:v>420</c:v>
                </c:pt>
                <c:pt idx="234">
                  <c:v>565</c:v>
                </c:pt>
                <c:pt idx="235">
                  <c:v>434</c:v>
                </c:pt>
                <c:pt idx="236">
                  <c:v>472</c:v>
                </c:pt>
                <c:pt idx="237">
                  <c:v>571</c:v>
                </c:pt>
                <c:pt idx="238">
                  <c:v>578</c:v>
                </c:pt>
                <c:pt idx="239">
                  <c:v>686</c:v>
                </c:pt>
                <c:pt idx="240">
                  <c:v>326</c:v>
                </c:pt>
                <c:pt idx="241">
                  <c:v>413</c:v>
                </c:pt>
                <c:pt idx="242">
                  <c:v>274</c:v>
                </c:pt>
                <c:pt idx="243">
                  <c:v>495</c:v>
                </c:pt>
                <c:pt idx="244">
                  <c:v>479</c:v>
                </c:pt>
                <c:pt idx="245">
                  <c:v>104</c:v>
                </c:pt>
                <c:pt idx="246">
                  <c:v>639</c:v>
                </c:pt>
                <c:pt idx="247">
                  <c:v>397</c:v>
                </c:pt>
                <c:pt idx="248">
                  <c:v>612</c:v>
                </c:pt>
                <c:pt idx="249">
                  <c:v>521</c:v>
                </c:pt>
                <c:pt idx="250">
                  <c:v>497</c:v>
                </c:pt>
                <c:pt idx="251">
                  <c:v>143</c:v>
                </c:pt>
                <c:pt idx="252">
                  <c:v>610</c:v>
                </c:pt>
                <c:pt idx="253">
                  <c:v>742</c:v>
                </c:pt>
                <c:pt idx="254">
                  <c:v>409</c:v>
                </c:pt>
                <c:pt idx="255">
                  <c:v>588</c:v>
                </c:pt>
                <c:pt idx="256">
                  <c:v>529</c:v>
                </c:pt>
                <c:pt idx="257">
                  <c:v>544</c:v>
                </c:pt>
                <c:pt idx="258">
                  <c:v>192</c:v>
                </c:pt>
                <c:pt idx="259">
                  <c:v>565</c:v>
                </c:pt>
                <c:pt idx="260">
                  <c:v>772</c:v>
                </c:pt>
                <c:pt idx="261">
                  <c:v>371</c:v>
                </c:pt>
                <c:pt idx="262">
                  <c:v>497</c:v>
                </c:pt>
                <c:pt idx="263">
                  <c:v>476</c:v>
                </c:pt>
                <c:pt idx="264">
                  <c:v>118</c:v>
                </c:pt>
                <c:pt idx="265">
                  <c:v>352</c:v>
                </c:pt>
                <c:pt idx="266">
                  <c:v>653</c:v>
                </c:pt>
                <c:pt idx="267">
                  <c:v>777</c:v>
                </c:pt>
                <c:pt idx="268">
                  <c:v>373</c:v>
                </c:pt>
                <c:pt idx="269">
                  <c:v>514</c:v>
                </c:pt>
                <c:pt idx="270">
                  <c:v>369</c:v>
                </c:pt>
                <c:pt idx="271">
                  <c:v>444</c:v>
                </c:pt>
                <c:pt idx="272">
                  <c:v>617</c:v>
                </c:pt>
                <c:pt idx="273">
                  <c:v>696</c:v>
                </c:pt>
                <c:pt idx="274">
                  <c:v>213</c:v>
                </c:pt>
                <c:pt idx="275">
                  <c:v>803</c:v>
                </c:pt>
                <c:pt idx="276">
                  <c:v>528</c:v>
                </c:pt>
                <c:pt idx="277">
                  <c:v>675</c:v>
                </c:pt>
                <c:pt idx="278">
                  <c:v>386</c:v>
                </c:pt>
                <c:pt idx="279">
                  <c:v>675</c:v>
                </c:pt>
                <c:pt idx="280">
                  <c:v>664</c:v>
                </c:pt>
                <c:pt idx="281">
                  <c:v>307</c:v>
                </c:pt>
                <c:pt idx="282">
                  <c:v>468</c:v>
                </c:pt>
                <c:pt idx="283">
                  <c:v>686</c:v>
                </c:pt>
                <c:pt idx="284">
                  <c:v>655</c:v>
                </c:pt>
                <c:pt idx="285">
                  <c:v>608</c:v>
                </c:pt>
                <c:pt idx="286">
                  <c:v>693</c:v>
                </c:pt>
                <c:pt idx="287">
                  <c:v>732</c:v>
                </c:pt>
                <c:pt idx="288">
                  <c:v>886</c:v>
                </c:pt>
                <c:pt idx="289">
                  <c:v>447</c:v>
                </c:pt>
                <c:pt idx="290">
                  <c:v>607</c:v>
                </c:pt>
                <c:pt idx="291">
                  <c:v>408</c:v>
                </c:pt>
                <c:pt idx="292">
                  <c:v>252</c:v>
                </c:pt>
                <c:pt idx="293">
                  <c:v>330</c:v>
                </c:pt>
                <c:pt idx="294">
                  <c:v>120</c:v>
                </c:pt>
                <c:pt idx="295">
                  <c:v>42</c:v>
                </c:pt>
                <c:pt idx="296">
                  <c:v>511</c:v>
                </c:pt>
                <c:pt idx="297">
                  <c:v>242</c:v>
                </c:pt>
                <c:pt idx="298">
                  <c:v>727</c:v>
                </c:pt>
                <c:pt idx="299">
                  <c:v>559</c:v>
                </c:pt>
                <c:pt idx="300">
                  <c:v>668</c:v>
                </c:pt>
                <c:pt idx="301">
                  <c:v>686</c:v>
                </c:pt>
                <c:pt idx="302">
                  <c:v>611</c:v>
                </c:pt>
                <c:pt idx="303">
                  <c:v>470</c:v>
                </c:pt>
                <c:pt idx="304">
                  <c:v>135</c:v>
                </c:pt>
                <c:pt idx="305">
                  <c:v>588</c:v>
                </c:pt>
                <c:pt idx="306">
                  <c:v>651</c:v>
                </c:pt>
                <c:pt idx="307">
                  <c:v>716</c:v>
                </c:pt>
                <c:pt idx="308">
                  <c:v>670</c:v>
                </c:pt>
                <c:pt idx="309">
                  <c:v>760</c:v>
                </c:pt>
                <c:pt idx="310">
                  <c:v>477</c:v>
                </c:pt>
                <c:pt idx="311">
                  <c:v>591</c:v>
                </c:pt>
                <c:pt idx="312">
                  <c:v>708</c:v>
                </c:pt>
                <c:pt idx="313">
                  <c:v>553</c:v>
                </c:pt>
                <c:pt idx="314">
                  <c:v>738</c:v>
                </c:pt>
                <c:pt idx="315">
                  <c:v>620</c:v>
                </c:pt>
                <c:pt idx="316">
                  <c:v>656</c:v>
                </c:pt>
                <c:pt idx="317">
                  <c:v>427</c:v>
                </c:pt>
                <c:pt idx="318">
                  <c:v>580</c:v>
                </c:pt>
                <c:pt idx="319">
                  <c:v>635</c:v>
                </c:pt>
                <c:pt idx="320">
                  <c:v>603</c:v>
                </c:pt>
                <c:pt idx="321">
                  <c:v>697</c:v>
                </c:pt>
                <c:pt idx="322">
                  <c:v>669</c:v>
                </c:pt>
                <c:pt idx="323">
                  <c:v>634</c:v>
                </c:pt>
                <c:pt idx="324">
                  <c:v>434</c:v>
                </c:pt>
                <c:pt idx="325">
                  <c:v>637</c:v>
                </c:pt>
                <c:pt idx="326">
                  <c:v>687</c:v>
                </c:pt>
                <c:pt idx="327">
                  <c:v>605</c:v>
                </c:pt>
                <c:pt idx="328">
                  <c:v>672</c:v>
                </c:pt>
                <c:pt idx="329">
                  <c:v>612</c:v>
                </c:pt>
                <c:pt idx="330">
                  <c:v>613</c:v>
                </c:pt>
                <c:pt idx="331">
                  <c:v>360</c:v>
                </c:pt>
                <c:pt idx="332">
                  <c:v>514</c:v>
                </c:pt>
                <c:pt idx="333">
                  <c:v>404</c:v>
                </c:pt>
                <c:pt idx="334">
                  <c:v>65</c:v>
                </c:pt>
                <c:pt idx="335">
                  <c:v>415</c:v>
                </c:pt>
                <c:pt idx="336">
                  <c:v>607</c:v>
                </c:pt>
                <c:pt idx="337">
                  <c:v>635</c:v>
                </c:pt>
                <c:pt idx="338">
                  <c:v>425</c:v>
                </c:pt>
                <c:pt idx="339">
                  <c:v>556</c:v>
                </c:pt>
                <c:pt idx="340">
                  <c:v>541</c:v>
                </c:pt>
                <c:pt idx="341">
                  <c:v>195</c:v>
                </c:pt>
                <c:pt idx="342">
                  <c:v>582</c:v>
                </c:pt>
                <c:pt idx="343">
                  <c:v>611</c:v>
                </c:pt>
                <c:pt idx="344">
                  <c:v>661</c:v>
                </c:pt>
                <c:pt idx="345">
                  <c:v>429</c:v>
                </c:pt>
                <c:pt idx="346">
                  <c:v>548</c:v>
                </c:pt>
                <c:pt idx="347">
                  <c:v>534</c:v>
                </c:pt>
                <c:pt idx="348">
                  <c:v>513</c:v>
                </c:pt>
                <c:pt idx="349">
                  <c:v>576</c:v>
                </c:pt>
                <c:pt idx="350">
                  <c:v>631</c:v>
                </c:pt>
                <c:pt idx="351">
                  <c:v>585</c:v>
                </c:pt>
                <c:pt idx="352">
                  <c:v>398</c:v>
                </c:pt>
                <c:pt idx="353">
                  <c:v>613</c:v>
                </c:pt>
                <c:pt idx="354">
                  <c:v>597</c:v>
                </c:pt>
                <c:pt idx="355">
                  <c:v>595</c:v>
                </c:pt>
                <c:pt idx="356">
                  <c:v>687</c:v>
                </c:pt>
                <c:pt idx="357">
                  <c:v>617</c:v>
                </c:pt>
                <c:pt idx="358">
                  <c:v>290</c:v>
                </c:pt>
                <c:pt idx="359">
                  <c:v>380</c:v>
                </c:pt>
                <c:pt idx="360">
                  <c:v>410</c:v>
                </c:pt>
                <c:pt idx="361">
                  <c:v>550</c:v>
                </c:pt>
                <c:pt idx="362">
                  <c:v>486</c:v>
                </c:pt>
                <c:pt idx="363">
                  <c:v>430</c:v>
                </c:pt>
                <c:pt idx="364">
                  <c:v>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0-4C7E-81CE-37D080015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333632"/>
        <c:axId val="1293441024"/>
      </c:scatterChart>
      <c:valAx>
        <c:axId val="128833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Exposure Rate(MJ/m*m)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441024"/>
        <c:crosses val="autoZero"/>
        <c:crossBetween val="midCat"/>
      </c:valAx>
      <c:valAx>
        <c:axId val="12934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Number of Cyclist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3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4.1A.3). Rainfall vs Cyclist 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JackPesch Bridge)</a:t>
            </a:r>
            <a:endParaRPr lang="en-AU" sz="3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Weather_data!$AX$2:$AX$366</c:f>
              <c:numCache>
                <c:formatCode>General</c:formatCode>
                <c:ptCount val="365"/>
                <c:pt idx="0">
                  <c:v>5.6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3.8</c:v>
                </c:pt>
                <c:pt idx="6">
                  <c:v>0</c:v>
                </c:pt>
                <c:pt idx="7">
                  <c:v>9.4</c:v>
                </c:pt>
                <c:pt idx="8">
                  <c:v>0.6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4.2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10.8</c:v>
                </c:pt>
                <c:pt idx="20">
                  <c:v>19.2</c:v>
                </c:pt>
                <c:pt idx="21">
                  <c:v>1.6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15.2</c:v>
                </c:pt>
                <c:pt idx="27">
                  <c:v>3</c:v>
                </c:pt>
                <c:pt idx="28">
                  <c:v>0.4</c:v>
                </c:pt>
                <c:pt idx="29">
                  <c:v>0.2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27.2</c:v>
                </c:pt>
                <c:pt idx="34">
                  <c:v>20.6</c:v>
                </c:pt>
                <c:pt idx="35">
                  <c:v>0</c:v>
                </c:pt>
                <c:pt idx="36">
                  <c:v>0</c:v>
                </c:pt>
                <c:pt idx="37">
                  <c:v>0.8</c:v>
                </c:pt>
                <c:pt idx="38">
                  <c:v>10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7.2</c:v>
                </c:pt>
                <c:pt idx="44">
                  <c:v>0.6</c:v>
                </c:pt>
                <c:pt idx="45">
                  <c:v>5.6</c:v>
                </c:pt>
                <c:pt idx="46">
                  <c:v>0.2</c:v>
                </c:pt>
                <c:pt idx="47">
                  <c:v>0</c:v>
                </c:pt>
                <c:pt idx="48">
                  <c:v>0</c:v>
                </c:pt>
                <c:pt idx="49">
                  <c:v>19.2</c:v>
                </c:pt>
                <c:pt idx="50">
                  <c:v>10.4</c:v>
                </c:pt>
                <c:pt idx="51">
                  <c:v>0.2</c:v>
                </c:pt>
                <c:pt idx="52">
                  <c:v>2.2000000000000002</c:v>
                </c:pt>
                <c:pt idx="53">
                  <c:v>38.6</c:v>
                </c:pt>
                <c:pt idx="54">
                  <c:v>13.4</c:v>
                </c:pt>
                <c:pt idx="55">
                  <c:v>64</c:v>
                </c:pt>
                <c:pt idx="56">
                  <c:v>112.8</c:v>
                </c:pt>
                <c:pt idx="57">
                  <c:v>114.2</c:v>
                </c:pt>
                <c:pt idx="58">
                  <c:v>111.4</c:v>
                </c:pt>
                <c:pt idx="59">
                  <c:v>5.6</c:v>
                </c:pt>
                <c:pt idx="60">
                  <c:v>0.2</c:v>
                </c:pt>
                <c:pt idx="61">
                  <c:v>56</c:v>
                </c:pt>
                <c:pt idx="62">
                  <c:v>0.6</c:v>
                </c:pt>
                <c:pt idx="63">
                  <c:v>0</c:v>
                </c:pt>
                <c:pt idx="64">
                  <c:v>0</c:v>
                </c:pt>
                <c:pt idx="65">
                  <c:v>23.4</c:v>
                </c:pt>
                <c:pt idx="66">
                  <c:v>0.2</c:v>
                </c:pt>
                <c:pt idx="67">
                  <c:v>0.6</c:v>
                </c:pt>
                <c:pt idx="68">
                  <c:v>0.2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56.2</c:v>
                </c:pt>
                <c:pt idx="85">
                  <c:v>6.2</c:v>
                </c:pt>
                <c:pt idx="86">
                  <c:v>44.6</c:v>
                </c:pt>
                <c:pt idx="87">
                  <c:v>63.8</c:v>
                </c:pt>
                <c:pt idx="88">
                  <c:v>13.8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2.2000000000000002</c:v>
                </c:pt>
                <c:pt idx="99">
                  <c:v>3.2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1.2</c:v>
                </c:pt>
                <c:pt idx="104">
                  <c:v>0.2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3.4</c:v>
                </c:pt>
                <c:pt idx="114">
                  <c:v>11.6</c:v>
                </c:pt>
                <c:pt idx="115">
                  <c:v>12.2</c:v>
                </c:pt>
                <c:pt idx="116">
                  <c:v>0.2</c:v>
                </c:pt>
                <c:pt idx="117">
                  <c:v>4.4000000000000004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0.4</c:v>
                </c:pt>
                <c:pt idx="123">
                  <c:v>0</c:v>
                </c:pt>
                <c:pt idx="124">
                  <c:v>0</c:v>
                </c:pt>
                <c:pt idx="125">
                  <c:v>11</c:v>
                </c:pt>
                <c:pt idx="126">
                  <c:v>0.4</c:v>
                </c:pt>
                <c:pt idx="127">
                  <c:v>2.6</c:v>
                </c:pt>
                <c:pt idx="128">
                  <c:v>2</c:v>
                </c:pt>
                <c:pt idx="129">
                  <c:v>12.6</c:v>
                </c:pt>
                <c:pt idx="130">
                  <c:v>11.2</c:v>
                </c:pt>
                <c:pt idx="131">
                  <c:v>40.4</c:v>
                </c:pt>
                <c:pt idx="132">
                  <c:v>67.599999999999994</c:v>
                </c:pt>
                <c:pt idx="133">
                  <c:v>28.2</c:v>
                </c:pt>
                <c:pt idx="134">
                  <c:v>18.8</c:v>
                </c:pt>
                <c:pt idx="135">
                  <c:v>0.8</c:v>
                </c:pt>
                <c:pt idx="136">
                  <c:v>27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15.6</c:v>
                </c:pt>
                <c:pt idx="141">
                  <c:v>23.2</c:v>
                </c:pt>
                <c:pt idx="142">
                  <c:v>8.8000000000000007</c:v>
                </c:pt>
                <c:pt idx="143">
                  <c:v>6.4</c:v>
                </c:pt>
                <c:pt idx="144">
                  <c:v>0.4</c:v>
                </c:pt>
                <c:pt idx="145">
                  <c:v>0.4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6.8</c:v>
                </c:pt>
                <c:pt idx="155">
                  <c:v>0.2</c:v>
                </c:pt>
                <c:pt idx="156">
                  <c:v>2.2000000000000002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</c:v>
                </c:pt>
                <c:pt idx="181">
                  <c:v>2.6</c:v>
                </c:pt>
                <c:pt idx="182">
                  <c:v>23.2</c:v>
                </c:pt>
                <c:pt idx="183">
                  <c:v>2</c:v>
                </c:pt>
                <c:pt idx="184">
                  <c:v>0.2</c:v>
                </c:pt>
                <c:pt idx="185">
                  <c:v>12.8</c:v>
                </c:pt>
                <c:pt idx="186">
                  <c:v>8.1999999999999993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1.8</c:v>
                </c:pt>
                <c:pt idx="202">
                  <c:v>15.4</c:v>
                </c:pt>
                <c:pt idx="203">
                  <c:v>4.4000000000000004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</c:v>
                </c:pt>
                <c:pt idx="213">
                  <c:v>0.2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4.2</c:v>
                </c:pt>
                <c:pt idx="218">
                  <c:v>0.2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0.4</c:v>
                </c:pt>
                <c:pt idx="225">
                  <c:v>1.8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4.5999999999999996</c:v>
                </c:pt>
                <c:pt idx="236">
                  <c:v>5.6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0.2</c:v>
                </c:pt>
                <c:pt idx="241">
                  <c:v>5.6</c:v>
                </c:pt>
                <c:pt idx="242">
                  <c:v>5</c:v>
                </c:pt>
                <c:pt idx="243">
                  <c:v>0</c:v>
                </c:pt>
                <c:pt idx="244">
                  <c:v>0</c:v>
                </c:pt>
                <c:pt idx="245">
                  <c:v>9.4</c:v>
                </c:pt>
                <c:pt idx="246">
                  <c:v>3.2</c:v>
                </c:pt>
                <c:pt idx="247">
                  <c:v>0</c:v>
                </c:pt>
                <c:pt idx="248">
                  <c:v>5.6</c:v>
                </c:pt>
                <c:pt idx="249">
                  <c:v>0</c:v>
                </c:pt>
                <c:pt idx="250">
                  <c:v>0.2</c:v>
                </c:pt>
                <c:pt idx="251">
                  <c:v>9</c:v>
                </c:pt>
                <c:pt idx="252">
                  <c:v>3.8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4.2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22.4</c:v>
                </c:pt>
                <c:pt idx="265">
                  <c:v>31.6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4.8</c:v>
                </c:pt>
                <c:pt idx="271">
                  <c:v>0.2</c:v>
                </c:pt>
                <c:pt idx="272">
                  <c:v>0</c:v>
                </c:pt>
                <c:pt idx="273">
                  <c:v>0</c:v>
                </c:pt>
                <c:pt idx="274">
                  <c:v>4.5999999999999996</c:v>
                </c:pt>
                <c:pt idx="275">
                  <c:v>1.4</c:v>
                </c:pt>
                <c:pt idx="276">
                  <c:v>0</c:v>
                </c:pt>
                <c:pt idx="277">
                  <c:v>0</c:v>
                </c:pt>
                <c:pt idx="278">
                  <c:v>0.8</c:v>
                </c:pt>
                <c:pt idx="279">
                  <c:v>0</c:v>
                </c:pt>
                <c:pt idx="280">
                  <c:v>0</c:v>
                </c:pt>
                <c:pt idx="281">
                  <c:v>5.6</c:v>
                </c:pt>
                <c:pt idx="282">
                  <c:v>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3.4</c:v>
                </c:pt>
                <c:pt idx="287">
                  <c:v>0.2</c:v>
                </c:pt>
                <c:pt idx="288">
                  <c:v>0</c:v>
                </c:pt>
                <c:pt idx="289">
                  <c:v>0.8</c:v>
                </c:pt>
                <c:pt idx="290">
                  <c:v>0.2</c:v>
                </c:pt>
                <c:pt idx="291">
                  <c:v>0</c:v>
                </c:pt>
                <c:pt idx="292">
                  <c:v>19.399999999999999</c:v>
                </c:pt>
                <c:pt idx="293">
                  <c:v>2.8</c:v>
                </c:pt>
                <c:pt idx="294">
                  <c:v>16.399999999999999</c:v>
                </c:pt>
                <c:pt idx="295">
                  <c:v>45.2</c:v>
                </c:pt>
                <c:pt idx="296">
                  <c:v>2.8</c:v>
                </c:pt>
                <c:pt idx="297">
                  <c:v>7.4</c:v>
                </c:pt>
                <c:pt idx="298">
                  <c:v>3.4</c:v>
                </c:pt>
                <c:pt idx="299">
                  <c:v>0</c:v>
                </c:pt>
                <c:pt idx="300">
                  <c:v>1.6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7.8</c:v>
                </c:pt>
                <c:pt idx="305">
                  <c:v>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6.6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21.4</c:v>
                </c:pt>
                <c:pt idx="332">
                  <c:v>10.6</c:v>
                </c:pt>
                <c:pt idx="333">
                  <c:v>1.4</c:v>
                </c:pt>
                <c:pt idx="334">
                  <c:v>26.2</c:v>
                </c:pt>
                <c:pt idx="335">
                  <c:v>15.2</c:v>
                </c:pt>
                <c:pt idx="336">
                  <c:v>0</c:v>
                </c:pt>
                <c:pt idx="337">
                  <c:v>0.2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29.8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4.2</c:v>
                </c:pt>
                <c:pt idx="347">
                  <c:v>0</c:v>
                </c:pt>
                <c:pt idx="348">
                  <c:v>0</c:v>
                </c:pt>
                <c:pt idx="349">
                  <c:v>1.8</c:v>
                </c:pt>
                <c:pt idx="350">
                  <c:v>0.4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30.2</c:v>
                </c:pt>
                <c:pt idx="360">
                  <c:v>0.2</c:v>
                </c:pt>
                <c:pt idx="361">
                  <c:v>0.2</c:v>
                </c:pt>
                <c:pt idx="362">
                  <c:v>0</c:v>
                </c:pt>
                <c:pt idx="363">
                  <c:v>0.4</c:v>
                </c:pt>
                <c:pt idx="364">
                  <c:v>2.2000000000000002</c:v>
                </c:pt>
              </c:numCache>
            </c:numRef>
          </c:xVal>
          <c:yVal>
            <c:numRef>
              <c:f>Weather_data!$AY$2:$AY$366</c:f>
              <c:numCache>
                <c:formatCode>General</c:formatCode>
                <c:ptCount val="365"/>
                <c:pt idx="0">
                  <c:v>142</c:v>
                </c:pt>
                <c:pt idx="1">
                  <c:v>829</c:v>
                </c:pt>
                <c:pt idx="2">
                  <c:v>801</c:v>
                </c:pt>
                <c:pt idx="3">
                  <c:v>578</c:v>
                </c:pt>
                <c:pt idx="4">
                  <c:v>588</c:v>
                </c:pt>
                <c:pt idx="5">
                  <c:v>371</c:v>
                </c:pt>
                <c:pt idx="6">
                  <c:v>349</c:v>
                </c:pt>
                <c:pt idx="7">
                  <c:v>211</c:v>
                </c:pt>
                <c:pt idx="8">
                  <c:v>879</c:v>
                </c:pt>
                <c:pt idx="9">
                  <c:v>515</c:v>
                </c:pt>
                <c:pt idx="10">
                  <c:v>604</c:v>
                </c:pt>
                <c:pt idx="11">
                  <c:v>707</c:v>
                </c:pt>
                <c:pt idx="12">
                  <c:v>668</c:v>
                </c:pt>
                <c:pt idx="13">
                  <c:v>772</c:v>
                </c:pt>
                <c:pt idx="14">
                  <c:v>785</c:v>
                </c:pt>
                <c:pt idx="15">
                  <c:v>730</c:v>
                </c:pt>
                <c:pt idx="16">
                  <c:v>526</c:v>
                </c:pt>
                <c:pt idx="17">
                  <c:v>681</c:v>
                </c:pt>
                <c:pt idx="18">
                  <c:v>688</c:v>
                </c:pt>
                <c:pt idx="19">
                  <c:v>121</c:v>
                </c:pt>
                <c:pt idx="20">
                  <c:v>728</c:v>
                </c:pt>
                <c:pt idx="21">
                  <c:v>740</c:v>
                </c:pt>
                <c:pt idx="22">
                  <c:v>1058</c:v>
                </c:pt>
                <c:pt idx="23">
                  <c:v>540</c:v>
                </c:pt>
                <c:pt idx="24">
                  <c:v>712</c:v>
                </c:pt>
                <c:pt idx="25">
                  <c:v>716</c:v>
                </c:pt>
                <c:pt idx="26">
                  <c:v>547</c:v>
                </c:pt>
                <c:pt idx="27">
                  <c:v>410</c:v>
                </c:pt>
                <c:pt idx="28">
                  <c:v>774</c:v>
                </c:pt>
                <c:pt idx="29">
                  <c:v>1020</c:v>
                </c:pt>
                <c:pt idx="30">
                  <c:v>496</c:v>
                </c:pt>
                <c:pt idx="31">
                  <c:v>712</c:v>
                </c:pt>
                <c:pt idx="32">
                  <c:v>610</c:v>
                </c:pt>
                <c:pt idx="33">
                  <c:v>284</c:v>
                </c:pt>
                <c:pt idx="34">
                  <c:v>733</c:v>
                </c:pt>
                <c:pt idx="35">
                  <c:v>901</c:v>
                </c:pt>
                <c:pt idx="36">
                  <c:v>967</c:v>
                </c:pt>
                <c:pt idx="37">
                  <c:v>538</c:v>
                </c:pt>
                <c:pt idx="38">
                  <c:v>924</c:v>
                </c:pt>
                <c:pt idx="39">
                  <c:v>873</c:v>
                </c:pt>
                <c:pt idx="40">
                  <c:v>804</c:v>
                </c:pt>
                <c:pt idx="41">
                  <c:v>965</c:v>
                </c:pt>
                <c:pt idx="42">
                  <c:v>837</c:v>
                </c:pt>
                <c:pt idx="43">
                  <c:v>954</c:v>
                </c:pt>
                <c:pt idx="44">
                  <c:v>414</c:v>
                </c:pt>
                <c:pt idx="45">
                  <c:v>713</c:v>
                </c:pt>
                <c:pt idx="46">
                  <c:v>850</c:v>
                </c:pt>
                <c:pt idx="47">
                  <c:v>729</c:v>
                </c:pt>
                <c:pt idx="48">
                  <c:v>921</c:v>
                </c:pt>
                <c:pt idx="49">
                  <c:v>817</c:v>
                </c:pt>
                <c:pt idx="50">
                  <c:v>783</c:v>
                </c:pt>
                <c:pt idx="51">
                  <c:v>581</c:v>
                </c:pt>
                <c:pt idx="52">
                  <c:v>766</c:v>
                </c:pt>
                <c:pt idx="53">
                  <c:v>178</c:v>
                </c:pt>
                <c:pt idx="54">
                  <c:v>181</c:v>
                </c:pt>
                <c:pt idx="55">
                  <c:v>73</c:v>
                </c:pt>
                <c:pt idx="56">
                  <c:v>19</c:v>
                </c:pt>
                <c:pt idx="57">
                  <c:v>26</c:v>
                </c:pt>
                <c:pt idx="58">
                  <c:v>193</c:v>
                </c:pt>
                <c:pt idx="59">
                  <c:v>204</c:v>
                </c:pt>
                <c:pt idx="60">
                  <c:v>304</c:v>
                </c:pt>
                <c:pt idx="61">
                  <c:v>107</c:v>
                </c:pt>
                <c:pt idx="62">
                  <c:v>268</c:v>
                </c:pt>
                <c:pt idx="63">
                  <c:v>400</c:v>
                </c:pt>
                <c:pt idx="64">
                  <c:v>401</c:v>
                </c:pt>
                <c:pt idx="65">
                  <c:v>378</c:v>
                </c:pt>
                <c:pt idx="66">
                  <c:v>494</c:v>
                </c:pt>
                <c:pt idx="67">
                  <c:v>366</c:v>
                </c:pt>
                <c:pt idx="68">
                  <c:v>490</c:v>
                </c:pt>
                <c:pt idx="69">
                  <c:v>522</c:v>
                </c:pt>
                <c:pt idx="70">
                  <c:v>531</c:v>
                </c:pt>
                <c:pt idx="71">
                  <c:v>635</c:v>
                </c:pt>
                <c:pt idx="72">
                  <c:v>445</c:v>
                </c:pt>
                <c:pt idx="73">
                  <c:v>583</c:v>
                </c:pt>
                <c:pt idx="74">
                  <c:v>559</c:v>
                </c:pt>
                <c:pt idx="75">
                  <c:v>496</c:v>
                </c:pt>
                <c:pt idx="76">
                  <c:v>587</c:v>
                </c:pt>
                <c:pt idx="77">
                  <c:v>696</c:v>
                </c:pt>
                <c:pt idx="78">
                  <c:v>801</c:v>
                </c:pt>
                <c:pt idx="79">
                  <c:v>458</c:v>
                </c:pt>
                <c:pt idx="80">
                  <c:v>589</c:v>
                </c:pt>
                <c:pt idx="81">
                  <c:v>599</c:v>
                </c:pt>
                <c:pt idx="82">
                  <c:v>614</c:v>
                </c:pt>
                <c:pt idx="83">
                  <c:v>581</c:v>
                </c:pt>
                <c:pt idx="84">
                  <c:v>554</c:v>
                </c:pt>
                <c:pt idx="85">
                  <c:v>640</c:v>
                </c:pt>
                <c:pt idx="86">
                  <c:v>100</c:v>
                </c:pt>
                <c:pt idx="87">
                  <c:v>122</c:v>
                </c:pt>
                <c:pt idx="88">
                  <c:v>348</c:v>
                </c:pt>
                <c:pt idx="89">
                  <c:v>599</c:v>
                </c:pt>
                <c:pt idx="90">
                  <c:v>630</c:v>
                </c:pt>
                <c:pt idx="91">
                  <c:v>676</c:v>
                </c:pt>
                <c:pt idx="92">
                  <c:v>762</c:v>
                </c:pt>
                <c:pt idx="93">
                  <c:v>424</c:v>
                </c:pt>
                <c:pt idx="94">
                  <c:v>635</c:v>
                </c:pt>
                <c:pt idx="95">
                  <c:v>641</c:v>
                </c:pt>
                <c:pt idx="96">
                  <c:v>394</c:v>
                </c:pt>
                <c:pt idx="97">
                  <c:v>485</c:v>
                </c:pt>
                <c:pt idx="98">
                  <c:v>371</c:v>
                </c:pt>
                <c:pt idx="99">
                  <c:v>590</c:v>
                </c:pt>
                <c:pt idx="100">
                  <c:v>449</c:v>
                </c:pt>
                <c:pt idx="101">
                  <c:v>591</c:v>
                </c:pt>
                <c:pt idx="102">
                  <c:v>517</c:v>
                </c:pt>
                <c:pt idx="103">
                  <c:v>423</c:v>
                </c:pt>
                <c:pt idx="104">
                  <c:v>738</c:v>
                </c:pt>
                <c:pt idx="105">
                  <c:v>594</c:v>
                </c:pt>
                <c:pt idx="106">
                  <c:v>499</c:v>
                </c:pt>
                <c:pt idx="107">
                  <c:v>694</c:v>
                </c:pt>
                <c:pt idx="108">
                  <c:v>512</c:v>
                </c:pt>
                <c:pt idx="109">
                  <c:v>596</c:v>
                </c:pt>
                <c:pt idx="110">
                  <c:v>552</c:v>
                </c:pt>
                <c:pt idx="111">
                  <c:v>649</c:v>
                </c:pt>
                <c:pt idx="112">
                  <c:v>589</c:v>
                </c:pt>
                <c:pt idx="113">
                  <c:v>447</c:v>
                </c:pt>
                <c:pt idx="114">
                  <c:v>114</c:v>
                </c:pt>
                <c:pt idx="115">
                  <c:v>240</c:v>
                </c:pt>
                <c:pt idx="116">
                  <c:v>529</c:v>
                </c:pt>
                <c:pt idx="117">
                  <c:v>465</c:v>
                </c:pt>
                <c:pt idx="118">
                  <c:v>587</c:v>
                </c:pt>
                <c:pt idx="119">
                  <c:v>452</c:v>
                </c:pt>
                <c:pt idx="120">
                  <c:v>573</c:v>
                </c:pt>
                <c:pt idx="121">
                  <c:v>784</c:v>
                </c:pt>
                <c:pt idx="122">
                  <c:v>553</c:v>
                </c:pt>
                <c:pt idx="123">
                  <c:v>671</c:v>
                </c:pt>
                <c:pt idx="124">
                  <c:v>572</c:v>
                </c:pt>
                <c:pt idx="125">
                  <c:v>148</c:v>
                </c:pt>
                <c:pt idx="126">
                  <c:v>540</c:v>
                </c:pt>
                <c:pt idx="127">
                  <c:v>395</c:v>
                </c:pt>
                <c:pt idx="128">
                  <c:v>147</c:v>
                </c:pt>
                <c:pt idx="129">
                  <c:v>251</c:v>
                </c:pt>
                <c:pt idx="130">
                  <c:v>77</c:v>
                </c:pt>
                <c:pt idx="131">
                  <c:v>132</c:v>
                </c:pt>
                <c:pt idx="132">
                  <c:v>93</c:v>
                </c:pt>
                <c:pt idx="133">
                  <c:v>65</c:v>
                </c:pt>
                <c:pt idx="134">
                  <c:v>311</c:v>
                </c:pt>
                <c:pt idx="135">
                  <c:v>436</c:v>
                </c:pt>
                <c:pt idx="136">
                  <c:v>433</c:v>
                </c:pt>
                <c:pt idx="137">
                  <c:v>633</c:v>
                </c:pt>
                <c:pt idx="138">
                  <c:v>503</c:v>
                </c:pt>
                <c:pt idx="139">
                  <c:v>572</c:v>
                </c:pt>
                <c:pt idx="140">
                  <c:v>24</c:v>
                </c:pt>
                <c:pt idx="141">
                  <c:v>89</c:v>
                </c:pt>
                <c:pt idx="142">
                  <c:v>281</c:v>
                </c:pt>
                <c:pt idx="143">
                  <c:v>311</c:v>
                </c:pt>
                <c:pt idx="144">
                  <c:v>575</c:v>
                </c:pt>
                <c:pt idx="145">
                  <c:v>460</c:v>
                </c:pt>
                <c:pt idx="146">
                  <c:v>583</c:v>
                </c:pt>
                <c:pt idx="147">
                  <c:v>746</c:v>
                </c:pt>
                <c:pt idx="148">
                  <c:v>853</c:v>
                </c:pt>
                <c:pt idx="149">
                  <c:v>429</c:v>
                </c:pt>
                <c:pt idx="150">
                  <c:v>319</c:v>
                </c:pt>
                <c:pt idx="151">
                  <c:v>476</c:v>
                </c:pt>
                <c:pt idx="152">
                  <c:v>501</c:v>
                </c:pt>
                <c:pt idx="153">
                  <c:v>598</c:v>
                </c:pt>
                <c:pt idx="154">
                  <c:v>496</c:v>
                </c:pt>
                <c:pt idx="155">
                  <c:v>829</c:v>
                </c:pt>
                <c:pt idx="156">
                  <c:v>307</c:v>
                </c:pt>
                <c:pt idx="157">
                  <c:v>509</c:v>
                </c:pt>
                <c:pt idx="158">
                  <c:v>496</c:v>
                </c:pt>
                <c:pt idx="159">
                  <c:v>393</c:v>
                </c:pt>
                <c:pt idx="160">
                  <c:v>514</c:v>
                </c:pt>
                <c:pt idx="161">
                  <c:v>470</c:v>
                </c:pt>
                <c:pt idx="162">
                  <c:v>498</c:v>
                </c:pt>
                <c:pt idx="163">
                  <c:v>356</c:v>
                </c:pt>
                <c:pt idx="164">
                  <c:v>504</c:v>
                </c:pt>
                <c:pt idx="165">
                  <c:v>589</c:v>
                </c:pt>
                <c:pt idx="166">
                  <c:v>513</c:v>
                </c:pt>
                <c:pt idx="167">
                  <c:v>529</c:v>
                </c:pt>
                <c:pt idx="168">
                  <c:v>587</c:v>
                </c:pt>
                <c:pt idx="169">
                  <c:v>673</c:v>
                </c:pt>
                <c:pt idx="170">
                  <c:v>421</c:v>
                </c:pt>
                <c:pt idx="171">
                  <c:v>522</c:v>
                </c:pt>
                <c:pt idx="172">
                  <c:v>510</c:v>
                </c:pt>
                <c:pt idx="173">
                  <c:v>501</c:v>
                </c:pt>
                <c:pt idx="174">
                  <c:v>577</c:v>
                </c:pt>
                <c:pt idx="175">
                  <c:v>574</c:v>
                </c:pt>
                <c:pt idx="176">
                  <c:v>630</c:v>
                </c:pt>
                <c:pt idx="177">
                  <c:v>304</c:v>
                </c:pt>
                <c:pt idx="178">
                  <c:v>444</c:v>
                </c:pt>
                <c:pt idx="179">
                  <c:v>421</c:v>
                </c:pt>
                <c:pt idx="180">
                  <c:v>398</c:v>
                </c:pt>
                <c:pt idx="181">
                  <c:v>129</c:v>
                </c:pt>
                <c:pt idx="182">
                  <c:v>52</c:v>
                </c:pt>
                <c:pt idx="183">
                  <c:v>538</c:v>
                </c:pt>
                <c:pt idx="184">
                  <c:v>271</c:v>
                </c:pt>
                <c:pt idx="185">
                  <c:v>54</c:v>
                </c:pt>
                <c:pt idx="186">
                  <c:v>192</c:v>
                </c:pt>
                <c:pt idx="187">
                  <c:v>446</c:v>
                </c:pt>
                <c:pt idx="188">
                  <c:v>479</c:v>
                </c:pt>
                <c:pt idx="189">
                  <c:v>570</c:v>
                </c:pt>
                <c:pt idx="190">
                  <c:v>591</c:v>
                </c:pt>
                <c:pt idx="191">
                  <c:v>355</c:v>
                </c:pt>
                <c:pt idx="192">
                  <c:v>398</c:v>
                </c:pt>
                <c:pt idx="193">
                  <c:v>425</c:v>
                </c:pt>
                <c:pt idx="194">
                  <c:v>426</c:v>
                </c:pt>
                <c:pt idx="195">
                  <c:v>501</c:v>
                </c:pt>
                <c:pt idx="196">
                  <c:v>561</c:v>
                </c:pt>
                <c:pt idx="197">
                  <c:v>640</c:v>
                </c:pt>
                <c:pt idx="198">
                  <c:v>393</c:v>
                </c:pt>
                <c:pt idx="199">
                  <c:v>451</c:v>
                </c:pt>
                <c:pt idx="200">
                  <c:v>418</c:v>
                </c:pt>
                <c:pt idx="201">
                  <c:v>174</c:v>
                </c:pt>
                <c:pt idx="202">
                  <c:v>88</c:v>
                </c:pt>
                <c:pt idx="203">
                  <c:v>594</c:v>
                </c:pt>
                <c:pt idx="204">
                  <c:v>846</c:v>
                </c:pt>
                <c:pt idx="205">
                  <c:v>408</c:v>
                </c:pt>
                <c:pt idx="206">
                  <c:v>506</c:v>
                </c:pt>
                <c:pt idx="207">
                  <c:v>540</c:v>
                </c:pt>
                <c:pt idx="208">
                  <c:v>537</c:v>
                </c:pt>
                <c:pt idx="209">
                  <c:v>551</c:v>
                </c:pt>
                <c:pt idx="210">
                  <c:v>591</c:v>
                </c:pt>
                <c:pt idx="211">
                  <c:v>627</c:v>
                </c:pt>
                <c:pt idx="212">
                  <c:v>251</c:v>
                </c:pt>
                <c:pt idx="213">
                  <c:v>500</c:v>
                </c:pt>
                <c:pt idx="214">
                  <c:v>582</c:v>
                </c:pt>
                <c:pt idx="215">
                  <c:v>497</c:v>
                </c:pt>
                <c:pt idx="216">
                  <c:v>626</c:v>
                </c:pt>
                <c:pt idx="217">
                  <c:v>306</c:v>
                </c:pt>
                <c:pt idx="218">
                  <c:v>748</c:v>
                </c:pt>
                <c:pt idx="219">
                  <c:v>385</c:v>
                </c:pt>
                <c:pt idx="220">
                  <c:v>443</c:v>
                </c:pt>
                <c:pt idx="221">
                  <c:v>763</c:v>
                </c:pt>
                <c:pt idx="222">
                  <c:v>455</c:v>
                </c:pt>
                <c:pt idx="223">
                  <c:v>526</c:v>
                </c:pt>
                <c:pt idx="224">
                  <c:v>159</c:v>
                </c:pt>
                <c:pt idx="225">
                  <c:v>684</c:v>
                </c:pt>
                <c:pt idx="226">
                  <c:v>401</c:v>
                </c:pt>
                <c:pt idx="227">
                  <c:v>510</c:v>
                </c:pt>
                <c:pt idx="228">
                  <c:v>559</c:v>
                </c:pt>
                <c:pt idx="229">
                  <c:v>490</c:v>
                </c:pt>
                <c:pt idx="230">
                  <c:v>581</c:v>
                </c:pt>
                <c:pt idx="231">
                  <c:v>575</c:v>
                </c:pt>
                <c:pt idx="232">
                  <c:v>717</c:v>
                </c:pt>
                <c:pt idx="233">
                  <c:v>420</c:v>
                </c:pt>
                <c:pt idx="234">
                  <c:v>565</c:v>
                </c:pt>
                <c:pt idx="235">
                  <c:v>434</c:v>
                </c:pt>
                <c:pt idx="236">
                  <c:v>472</c:v>
                </c:pt>
                <c:pt idx="237">
                  <c:v>571</c:v>
                </c:pt>
                <c:pt idx="238">
                  <c:v>578</c:v>
                </c:pt>
                <c:pt idx="239">
                  <c:v>686</c:v>
                </c:pt>
                <c:pt idx="240">
                  <c:v>326</c:v>
                </c:pt>
                <c:pt idx="241">
                  <c:v>413</c:v>
                </c:pt>
                <c:pt idx="242">
                  <c:v>274</c:v>
                </c:pt>
                <c:pt idx="243">
                  <c:v>495</c:v>
                </c:pt>
                <c:pt idx="244">
                  <c:v>479</c:v>
                </c:pt>
                <c:pt idx="245">
                  <c:v>104</c:v>
                </c:pt>
                <c:pt idx="246">
                  <c:v>639</c:v>
                </c:pt>
                <c:pt idx="247">
                  <c:v>397</c:v>
                </c:pt>
                <c:pt idx="248">
                  <c:v>612</c:v>
                </c:pt>
                <c:pt idx="249">
                  <c:v>521</c:v>
                </c:pt>
                <c:pt idx="250">
                  <c:v>497</c:v>
                </c:pt>
                <c:pt idx="251">
                  <c:v>143</c:v>
                </c:pt>
                <c:pt idx="252">
                  <c:v>610</c:v>
                </c:pt>
                <c:pt idx="253">
                  <c:v>742</c:v>
                </c:pt>
                <c:pt idx="254">
                  <c:v>409</c:v>
                </c:pt>
                <c:pt idx="255">
                  <c:v>588</c:v>
                </c:pt>
                <c:pt idx="256">
                  <c:v>529</c:v>
                </c:pt>
                <c:pt idx="257">
                  <c:v>544</c:v>
                </c:pt>
                <c:pt idx="258">
                  <c:v>192</c:v>
                </c:pt>
                <c:pt idx="259">
                  <c:v>565</c:v>
                </c:pt>
                <c:pt idx="260">
                  <c:v>772</c:v>
                </c:pt>
                <c:pt idx="261">
                  <c:v>371</c:v>
                </c:pt>
                <c:pt idx="262">
                  <c:v>497</c:v>
                </c:pt>
                <c:pt idx="263">
                  <c:v>476</c:v>
                </c:pt>
                <c:pt idx="264">
                  <c:v>118</c:v>
                </c:pt>
                <c:pt idx="265">
                  <c:v>352</c:v>
                </c:pt>
                <c:pt idx="266">
                  <c:v>653</c:v>
                </c:pt>
                <c:pt idx="267">
                  <c:v>777</c:v>
                </c:pt>
                <c:pt idx="268">
                  <c:v>373</c:v>
                </c:pt>
                <c:pt idx="269">
                  <c:v>514</c:v>
                </c:pt>
                <c:pt idx="270">
                  <c:v>369</c:v>
                </c:pt>
                <c:pt idx="271">
                  <c:v>444</c:v>
                </c:pt>
                <c:pt idx="272">
                  <c:v>617</c:v>
                </c:pt>
                <c:pt idx="273">
                  <c:v>696</c:v>
                </c:pt>
                <c:pt idx="274">
                  <c:v>213</c:v>
                </c:pt>
                <c:pt idx="275">
                  <c:v>803</c:v>
                </c:pt>
                <c:pt idx="276">
                  <c:v>528</c:v>
                </c:pt>
                <c:pt idx="277">
                  <c:v>675</c:v>
                </c:pt>
                <c:pt idx="278">
                  <c:v>386</c:v>
                </c:pt>
                <c:pt idx="279">
                  <c:v>675</c:v>
                </c:pt>
                <c:pt idx="280">
                  <c:v>664</c:v>
                </c:pt>
                <c:pt idx="281">
                  <c:v>307</c:v>
                </c:pt>
                <c:pt idx="282">
                  <c:v>468</c:v>
                </c:pt>
                <c:pt idx="283">
                  <c:v>686</c:v>
                </c:pt>
                <c:pt idx="284">
                  <c:v>655</c:v>
                </c:pt>
                <c:pt idx="285">
                  <c:v>608</c:v>
                </c:pt>
                <c:pt idx="286">
                  <c:v>693</c:v>
                </c:pt>
                <c:pt idx="287">
                  <c:v>732</c:v>
                </c:pt>
                <c:pt idx="288">
                  <c:v>886</c:v>
                </c:pt>
                <c:pt idx="289">
                  <c:v>447</c:v>
                </c:pt>
                <c:pt idx="290">
                  <c:v>607</c:v>
                </c:pt>
                <c:pt idx="291">
                  <c:v>408</c:v>
                </c:pt>
                <c:pt idx="292">
                  <c:v>252</c:v>
                </c:pt>
                <c:pt idx="293">
                  <c:v>330</c:v>
                </c:pt>
                <c:pt idx="294">
                  <c:v>120</c:v>
                </c:pt>
                <c:pt idx="295">
                  <c:v>42</c:v>
                </c:pt>
                <c:pt idx="296">
                  <c:v>511</c:v>
                </c:pt>
                <c:pt idx="297">
                  <c:v>242</c:v>
                </c:pt>
                <c:pt idx="298">
                  <c:v>727</c:v>
                </c:pt>
                <c:pt idx="299">
                  <c:v>559</c:v>
                </c:pt>
                <c:pt idx="300">
                  <c:v>668</c:v>
                </c:pt>
                <c:pt idx="301">
                  <c:v>686</c:v>
                </c:pt>
                <c:pt idx="302">
                  <c:v>611</c:v>
                </c:pt>
                <c:pt idx="303">
                  <c:v>470</c:v>
                </c:pt>
                <c:pt idx="304">
                  <c:v>135</c:v>
                </c:pt>
                <c:pt idx="305">
                  <c:v>588</c:v>
                </c:pt>
                <c:pt idx="306">
                  <c:v>651</c:v>
                </c:pt>
                <c:pt idx="307">
                  <c:v>716</c:v>
                </c:pt>
                <c:pt idx="308">
                  <c:v>670</c:v>
                </c:pt>
                <c:pt idx="309">
                  <c:v>760</c:v>
                </c:pt>
                <c:pt idx="310">
                  <c:v>477</c:v>
                </c:pt>
                <c:pt idx="311">
                  <c:v>591</c:v>
                </c:pt>
                <c:pt idx="312">
                  <c:v>708</c:v>
                </c:pt>
                <c:pt idx="313">
                  <c:v>553</c:v>
                </c:pt>
                <c:pt idx="314">
                  <c:v>738</c:v>
                </c:pt>
                <c:pt idx="315">
                  <c:v>620</c:v>
                </c:pt>
                <c:pt idx="316">
                  <c:v>656</c:v>
                </c:pt>
                <c:pt idx="317">
                  <c:v>427</c:v>
                </c:pt>
                <c:pt idx="318">
                  <c:v>580</c:v>
                </c:pt>
                <c:pt idx="319">
                  <c:v>635</c:v>
                </c:pt>
                <c:pt idx="320">
                  <c:v>603</c:v>
                </c:pt>
                <c:pt idx="321">
                  <c:v>697</c:v>
                </c:pt>
                <c:pt idx="322">
                  <c:v>669</c:v>
                </c:pt>
                <c:pt idx="323">
                  <c:v>634</c:v>
                </c:pt>
                <c:pt idx="324">
                  <c:v>434</c:v>
                </c:pt>
                <c:pt idx="325">
                  <c:v>637</c:v>
                </c:pt>
                <c:pt idx="326">
                  <c:v>687</c:v>
                </c:pt>
                <c:pt idx="327">
                  <c:v>605</c:v>
                </c:pt>
                <c:pt idx="328">
                  <c:v>672</c:v>
                </c:pt>
                <c:pt idx="329">
                  <c:v>612</c:v>
                </c:pt>
                <c:pt idx="330">
                  <c:v>613</c:v>
                </c:pt>
                <c:pt idx="331">
                  <c:v>360</c:v>
                </c:pt>
                <c:pt idx="332">
                  <c:v>514</c:v>
                </c:pt>
                <c:pt idx="333">
                  <c:v>404</c:v>
                </c:pt>
                <c:pt idx="334">
                  <c:v>65</c:v>
                </c:pt>
                <c:pt idx="335">
                  <c:v>415</c:v>
                </c:pt>
                <c:pt idx="336">
                  <c:v>607</c:v>
                </c:pt>
                <c:pt idx="337">
                  <c:v>635</c:v>
                </c:pt>
                <c:pt idx="338">
                  <c:v>425</c:v>
                </c:pt>
                <c:pt idx="339">
                  <c:v>556</c:v>
                </c:pt>
                <c:pt idx="340">
                  <c:v>541</c:v>
                </c:pt>
                <c:pt idx="341">
                  <c:v>195</c:v>
                </c:pt>
                <c:pt idx="342">
                  <c:v>582</c:v>
                </c:pt>
                <c:pt idx="343">
                  <c:v>611</c:v>
                </c:pt>
                <c:pt idx="344">
                  <c:v>661</c:v>
                </c:pt>
                <c:pt idx="345">
                  <c:v>429</c:v>
                </c:pt>
                <c:pt idx="346">
                  <c:v>548</c:v>
                </c:pt>
                <c:pt idx="347">
                  <c:v>534</c:v>
                </c:pt>
                <c:pt idx="348">
                  <c:v>513</c:v>
                </c:pt>
                <c:pt idx="349">
                  <c:v>576</c:v>
                </c:pt>
                <c:pt idx="350">
                  <c:v>631</c:v>
                </c:pt>
                <c:pt idx="351">
                  <c:v>585</c:v>
                </c:pt>
                <c:pt idx="352">
                  <c:v>398</c:v>
                </c:pt>
                <c:pt idx="353">
                  <c:v>613</c:v>
                </c:pt>
                <c:pt idx="354">
                  <c:v>597</c:v>
                </c:pt>
                <c:pt idx="355">
                  <c:v>595</c:v>
                </c:pt>
                <c:pt idx="356">
                  <c:v>687</c:v>
                </c:pt>
                <c:pt idx="357">
                  <c:v>617</c:v>
                </c:pt>
                <c:pt idx="358">
                  <c:v>290</c:v>
                </c:pt>
                <c:pt idx="359">
                  <c:v>380</c:v>
                </c:pt>
                <c:pt idx="360">
                  <c:v>410</c:v>
                </c:pt>
                <c:pt idx="361">
                  <c:v>550</c:v>
                </c:pt>
                <c:pt idx="362">
                  <c:v>486</c:v>
                </c:pt>
                <c:pt idx="363">
                  <c:v>430</c:v>
                </c:pt>
                <c:pt idx="364">
                  <c:v>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71-4F1A-B686-C8A7D3417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805520"/>
        <c:axId val="1375806480"/>
      </c:scatterChart>
      <c:valAx>
        <c:axId val="137580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Rainfall(mm)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06480"/>
        <c:crosses val="autoZero"/>
        <c:crossBetween val="midCat"/>
      </c:valAx>
      <c:valAx>
        <c:axId val="137580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Number of Cyclist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0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000"/>
              <a:t>4.1B.1). MaxTemp vs Pedestrian 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JackPesch Bridge)</a:t>
            </a:r>
            <a:endParaRPr lang="en-US" sz="3000"/>
          </a:p>
        </c:rich>
      </c:tx>
      <c:layout>
        <c:manualLayout>
          <c:xMode val="edge"/>
          <c:yMode val="edge"/>
          <c:x val="0.15356677659896592"/>
          <c:y val="1.6577048358643789E-2"/>
        </c:manualLayout>
      </c:layout>
      <c:overlay val="0"/>
      <c:spPr>
        <a:noFill/>
        <a:ln w="0">
          <a:solidFill>
            <a:schemeClr val="tx1">
              <a:lumMod val="15000"/>
              <a:lumOff val="8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Weather_data!$AE$1</c:f>
              <c:strCache>
                <c:ptCount val="1"/>
                <c:pt idx="0">
                  <c:v>Jack Pesch Bridge, Indooroopilly Pedestrian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Weather_data!$AD$2:$AD$366</c:f>
              <c:numCache>
                <c:formatCode>General</c:formatCode>
                <c:ptCount val="365"/>
                <c:pt idx="0">
                  <c:v>26.6</c:v>
                </c:pt>
                <c:pt idx="1">
                  <c:v>27.7</c:v>
                </c:pt>
                <c:pt idx="2">
                  <c:v>30.2</c:v>
                </c:pt>
                <c:pt idx="3">
                  <c:v>31.8</c:v>
                </c:pt>
                <c:pt idx="4">
                  <c:v>30.3</c:v>
                </c:pt>
                <c:pt idx="5">
                  <c:v>30</c:v>
                </c:pt>
                <c:pt idx="6">
                  <c:v>28.8</c:v>
                </c:pt>
                <c:pt idx="7">
                  <c:v>27.6</c:v>
                </c:pt>
                <c:pt idx="8">
                  <c:v>30.3</c:v>
                </c:pt>
                <c:pt idx="9">
                  <c:v>30.4</c:v>
                </c:pt>
                <c:pt idx="10">
                  <c:v>29.8</c:v>
                </c:pt>
                <c:pt idx="11">
                  <c:v>29.7</c:v>
                </c:pt>
                <c:pt idx="12">
                  <c:v>29.8</c:v>
                </c:pt>
                <c:pt idx="13">
                  <c:v>29.6</c:v>
                </c:pt>
                <c:pt idx="14">
                  <c:v>30.7</c:v>
                </c:pt>
                <c:pt idx="15">
                  <c:v>31.4</c:v>
                </c:pt>
                <c:pt idx="16">
                  <c:v>32.4</c:v>
                </c:pt>
                <c:pt idx="17">
                  <c:v>31.5</c:v>
                </c:pt>
                <c:pt idx="18">
                  <c:v>32.4</c:v>
                </c:pt>
                <c:pt idx="19">
                  <c:v>26.7</c:v>
                </c:pt>
                <c:pt idx="20">
                  <c:v>28</c:v>
                </c:pt>
                <c:pt idx="21">
                  <c:v>27.7</c:v>
                </c:pt>
                <c:pt idx="22">
                  <c:v>28.3</c:v>
                </c:pt>
                <c:pt idx="23">
                  <c:v>29.8</c:v>
                </c:pt>
                <c:pt idx="24">
                  <c:v>30.5</c:v>
                </c:pt>
                <c:pt idx="25">
                  <c:v>26.6</c:v>
                </c:pt>
                <c:pt idx="26">
                  <c:v>28.4</c:v>
                </c:pt>
                <c:pt idx="27">
                  <c:v>30.1</c:v>
                </c:pt>
                <c:pt idx="28">
                  <c:v>31.2</c:v>
                </c:pt>
                <c:pt idx="29">
                  <c:v>31.6</c:v>
                </c:pt>
                <c:pt idx="30">
                  <c:v>32</c:v>
                </c:pt>
                <c:pt idx="31">
                  <c:v>34.700000000000003</c:v>
                </c:pt>
                <c:pt idx="32">
                  <c:v>35.5</c:v>
                </c:pt>
                <c:pt idx="33">
                  <c:v>30.7</c:v>
                </c:pt>
                <c:pt idx="34">
                  <c:v>28.4</c:v>
                </c:pt>
                <c:pt idx="35">
                  <c:v>27.4</c:v>
                </c:pt>
                <c:pt idx="36">
                  <c:v>26.9</c:v>
                </c:pt>
                <c:pt idx="37">
                  <c:v>29.2</c:v>
                </c:pt>
                <c:pt idx="38">
                  <c:v>28.3</c:v>
                </c:pt>
                <c:pt idx="39">
                  <c:v>30</c:v>
                </c:pt>
                <c:pt idx="40">
                  <c:v>31.2</c:v>
                </c:pt>
                <c:pt idx="41">
                  <c:v>31.3</c:v>
                </c:pt>
                <c:pt idx="42">
                  <c:v>28.9</c:v>
                </c:pt>
                <c:pt idx="43">
                  <c:v>29.3</c:v>
                </c:pt>
                <c:pt idx="44">
                  <c:v>27.9</c:v>
                </c:pt>
                <c:pt idx="45">
                  <c:v>27.1</c:v>
                </c:pt>
                <c:pt idx="46">
                  <c:v>28.7</c:v>
                </c:pt>
                <c:pt idx="47">
                  <c:v>29.8</c:v>
                </c:pt>
                <c:pt idx="48">
                  <c:v>31.9</c:v>
                </c:pt>
                <c:pt idx="49">
                  <c:v>31</c:v>
                </c:pt>
                <c:pt idx="50">
                  <c:v>27.6</c:v>
                </c:pt>
                <c:pt idx="51">
                  <c:v>30.1</c:v>
                </c:pt>
                <c:pt idx="52">
                  <c:v>30.3</c:v>
                </c:pt>
                <c:pt idx="53">
                  <c:v>28.7</c:v>
                </c:pt>
                <c:pt idx="54">
                  <c:v>28.1</c:v>
                </c:pt>
                <c:pt idx="55">
                  <c:v>24.2</c:v>
                </c:pt>
                <c:pt idx="56">
                  <c:v>23.9</c:v>
                </c:pt>
                <c:pt idx="57">
                  <c:v>23.6</c:v>
                </c:pt>
                <c:pt idx="58">
                  <c:v>29.9</c:v>
                </c:pt>
                <c:pt idx="59">
                  <c:v>30.4</c:v>
                </c:pt>
                <c:pt idx="60">
                  <c:v>31.4</c:v>
                </c:pt>
                <c:pt idx="61">
                  <c:v>27.7</c:v>
                </c:pt>
                <c:pt idx="62">
                  <c:v>27.5</c:v>
                </c:pt>
                <c:pt idx="63">
                  <c:v>31.6</c:v>
                </c:pt>
                <c:pt idx="64">
                  <c:v>32.200000000000003</c:v>
                </c:pt>
                <c:pt idx="65">
                  <c:v>30.6</c:v>
                </c:pt>
                <c:pt idx="66">
                  <c:v>34.4</c:v>
                </c:pt>
                <c:pt idx="67">
                  <c:v>34.700000000000003</c:v>
                </c:pt>
                <c:pt idx="68">
                  <c:v>27.2</c:v>
                </c:pt>
                <c:pt idx="69">
                  <c:v>26.6</c:v>
                </c:pt>
                <c:pt idx="70">
                  <c:v>27.5</c:v>
                </c:pt>
                <c:pt idx="71">
                  <c:v>28.7</c:v>
                </c:pt>
                <c:pt idx="72">
                  <c:v>28.7</c:v>
                </c:pt>
                <c:pt idx="73">
                  <c:v>27.6</c:v>
                </c:pt>
                <c:pt idx="74">
                  <c:v>29.3</c:v>
                </c:pt>
                <c:pt idx="75">
                  <c:v>30.5</c:v>
                </c:pt>
                <c:pt idx="76">
                  <c:v>29.1</c:v>
                </c:pt>
                <c:pt idx="77">
                  <c:v>29.2</c:v>
                </c:pt>
                <c:pt idx="78">
                  <c:v>28.7</c:v>
                </c:pt>
                <c:pt idx="79">
                  <c:v>29.8</c:v>
                </c:pt>
                <c:pt idx="80">
                  <c:v>29.8</c:v>
                </c:pt>
                <c:pt idx="81">
                  <c:v>30.9</c:v>
                </c:pt>
                <c:pt idx="82">
                  <c:v>30.6</c:v>
                </c:pt>
                <c:pt idx="83">
                  <c:v>30.4</c:v>
                </c:pt>
                <c:pt idx="84">
                  <c:v>27.6</c:v>
                </c:pt>
                <c:pt idx="85">
                  <c:v>28.5</c:v>
                </c:pt>
                <c:pt idx="86">
                  <c:v>21.9</c:v>
                </c:pt>
                <c:pt idx="87">
                  <c:v>25.4</c:v>
                </c:pt>
                <c:pt idx="88">
                  <c:v>27.5</c:v>
                </c:pt>
                <c:pt idx="89">
                  <c:v>28.9</c:v>
                </c:pt>
                <c:pt idx="90">
                  <c:v>28.5</c:v>
                </c:pt>
                <c:pt idx="91">
                  <c:v>27.6</c:v>
                </c:pt>
                <c:pt idx="92">
                  <c:v>29.4</c:v>
                </c:pt>
                <c:pt idx="93">
                  <c:v>28.6</c:v>
                </c:pt>
                <c:pt idx="94">
                  <c:v>30.2</c:v>
                </c:pt>
                <c:pt idx="95">
                  <c:v>28.4</c:v>
                </c:pt>
                <c:pt idx="96">
                  <c:v>27.7</c:v>
                </c:pt>
                <c:pt idx="97">
                  <c:v>27.8</c:v>
                </c:pt>
                <c:pt idx="98">
                  <c:v>26.6</c:v>
                </c:pt>
                <c:pt idx="99">
                  <c:v>28.1</c:v>
                </c:pt>
                <c:pt idx="100">
                  <c:v>29.5</c:v>
                </c:pt>
                <c:pt idx="101">
                  <c:v>29.7</c:v>
                </c:pt>
                <c:pt idx="102">
                  <c:v>27.1</c:v>
                </c:pt>
                <c:pt idx="103">
                  <c:v>26.2</c:v>
                </c:pt>
                <c:pt idx="104">
                  <c:v>26.5</c:v>
                </c:pt>
                <c:pt idx="105">
                  <c:v>26.7</c:v>
                </c:pt>
                <c:pt idx="106">
                  <c:v>25.7</c:v>
                </c:pt>
                <c:pt idx="107">
                  <c:v>27</c:v>
                </c:pt>
                <c:pt idx="108">
                  <c:v>27.6</c:v>
                </c:pt>
                <c:pt idx="109">
                  <c:v>30.1</c:v>
                </c:pt>
                <c:pt idx="110">
                  <c:v>27.4</c:v>
                </c:pt>
                <c:pt idx="111">
                  <c:v>26.3</c:v>
                </c:pt>
                <c:pt idx="112">
                  <c:v>23.2</c:v>
                </c:pt>
                <c:pt idx="113">
                  <c:v>23.9</c:v>
                </c:pt>
                <c:pt idx="114">
                  <c:v>20.100000000000001</c:v>
                </c:pt>
                <c:pt idx="115">
                  <c:v>22.6</c:v>
                </c:pt>
                <c:pt idx="116">
                  <c:v>26</c:v>
                </c:pt>
                <c:pt idx="117">
                  <c:v>25.8</c:v>
                </c:pt>
                <c:pt idx="118">
                  <c:v>27.1</c:v>
                </c:pt>
                <c:pt idx="119">
                  <c:v>27.3</c:v>
                </c:pt>
                <c:pt idx="120">
                  <c:v>23.1</c:v>
                </c:pt>
                <c:pt idx="121">
                  <c:v>25.4</c:v>
                </c:pt>
                <c:pt idx="122">
                  <c:v>25.8</c:v>
                </c:pt>
                <c:pt idx="123">
                  <c:v>26.3</c:v>
                </c:pt>
                <c:pt idx="124">
                  <c:v>28.3</c:v>
                </c:pt>
                <c:pt idx="125">
                  <c:v>26.9</c:v>
                </c:pt>
                <c:pt idx="126">
                  <c:v>25.3</c:v>
                </c:pt>
                <c:pt idx="127">
                  <c:v>23</c:v>
                </c:pt>
                <c:pt idx="128">
                  <c:v>19.3</c:v>
                </c:pt>
                <c:pt idx="129">
                  <c:v>23.6</c:v>
                </c:pt>
                <c:pt idx="130">
                  <c:v>22.3</c:v>
                </c:pt>
                <c:pt idx="131">
                  <c:v>23.3</c:v>
                </c:pt>
                <c:pt idx="132">
                  <c:v>24.2</c:v>
                </c:pt>
                <c:pt idx="133">
                  <c:v>24.6</c:v>
                </c:pt>
                <c:pt idx="134">
                  <c:v>27.5</c:v>
                </c:pt>
                <c:pt idx="135">
                  <c:v>27.6</c:v>
                </c:pt>
                <c:pt idx="136">
                  <c:v>27.6</c:v>
                </c:pt>
                <c:pt idx="137">
                  <c:v>26.3</c:v>
                </c:pt>
                <c:pt idx="138">
                  <c:v>22.7</c:v>
                </c:pt>
                <c:pt idx="139">
                  <c:v>21.3</c:v>
                </c:pt>
                <c:pt idx="140">
                  <c:v>18.2</c:v>
                </c:pt>
                <c:pt idx="141">
                  <c:v>20.399999999999999</c:v>
                </c:pt>
                <c:pt idx="142">
                  <c:v>22.1</c:v>
                </c:pt>
                <c:pt idx="143">
                  <c:v>22.7</c:v>
                </c:pt>
                <c:pt idx="144">
                  <c:v>23.1</c:v>
                </c:pt>
                <c:pt idx="145">
                  <c:v>24</c:v>
                </c:pt>
                <c:pt idx="146">
                  <c:v>24.6</c:v>
                </c:pt>
                <c:pt idx="147">
                  <c:v>24.8</c:v>
                </c:pt>
                <c:pt idx="148">
                  <c:v>21.2</c:v>
                </c:pt>
                <c:pt idx="149">
                  <c:v>20.7</c:v>
                </c:pt>
                <c:pt idx="150">
                  <c:v>20.6</c:v>
                </c:pt>
                <c:pt idx="151">
                  <c:v>20</c:v>
                </c:pt>
                <c:pt idx="152">
                  <c:v>20.3</c:v>
                </c:pt>
                <c:pt idx="153">
                  <c:v>22.3</c:v>
                </c:pt>
                <c:pt idx="154">
                  <c:v>21</c:v>
                </c:pt>
                <c:pt idx="155">
                  <c:v>20.8</c:v>
                </c:pt>
                <c:pt idx="156">
                  <c:v>21.7</c:v>
                </c:pt>
                <c:pt idx="157">
                  <c:v>16.899999999999999</c:v>
                </c:pt>
                <c:pt idx="158">
                  <c:v>20.100000000000001</c:v>
                </c:pt>
                <c:pt idx="159">
                  <c:v>17.600000000000001</c:v>
                </c:pt>
                <c:pt idx="160">
                  <c:v>17.3</c:v>
                </c:pt>
                <c:pt idx="161">
                  <c:v>18.8</c:v>
                </c:pt>
                <c:pt idx="162">
                  <c:v>19.399999999999999</c:v>
                </c:pt>
                <c:pt idx="163">
                  <c:v>21.7</c:v>
                </c:pt>
                <c:pt idx="164">
                  <c:v>22.8</c:v>
                </c:pt>
                <c:pt idx="165">
                  <c:v>23.5</c:v>
                </c:pt>
                <c:pt idx="166">
                  <c:v>23.7</c:v>
                </c:pt>
                <c:pt idx="167">
                  <c:v>23.4</c:v>
                </c:pt>
                <c:pt idx="168">
                  <c:v>21.9</c:v>
                </c:pt>
                <c:pt idx="169">
                  <c:v>23.3</c:v>
                </c:pt>
                <c:pt idx="170">
                  <c:v>23.2</c:v>
                </c:pt>
                <c:pt idx="171">
                  <c:v>22.8</c:v>
                </c:pt>
                <c:pt idx="172">
                  <c:v>23.8</c:v>
                </c:pt>
                <c:pt idx="173">
                  <c:v>23.3</c:v>
                </c:pt>
                <c:pt idx="174">
                  <c:v>22.8</c:v>
                </c:pt>
                <c:pt idx="175">
                  <c:v>22.7</c:v>
                </c:pt>
                <c:pt idx="176">
                  <c:v>22.7</c:v>
                </c:pt>
                <c:pt idx="177">
                  <c:v>22.3</c:v>
                </c:pt>
                <c:pt idx="178">
                  <c:v>20.100000000000001</c:v>
                </c:pt>
                <c:pt idx="179">
                  <c:v>18.899999999999999</c:v>
                </c:pt>
                <c:pt idx="180">
                  <c:v>21.3</c:v>
                </c:pt>
                <c:pt idx="181">
                  <c:v>15.7</c:v>
                </c:pt>
                <c:pt idx="182">
                  <c:v>17.100000000000001</c:v>
                </c:pt>
                <c:pt idx="183">
                  <c:v>18.399999999999999</c:v>
                </c:pt>
                <c:pt idx="184">
                  <c:v>14.2</c:v>
                </c:pt>
                <c:pt idx="185">
                  <c:v>14</c:v>
                </c:pt>
                <c:pt idx="186">
                  <c:v>19.2</c:v>
                </c:pt>
                <c:pt idx="187">
                  <c:v>21.1</c:v>
                </c:pt>
                <c:pt idx="188">
                  <c:v>18.7</c:v>
                </c:pt>
                <c:pt idx="189">
                  <c:v>19.600000000000001</c:v>
                </c:pt>
                <c:pt idx="190">
                  <c:v>20</c:v>
                </c:pt>
                <c:pt idx="191">
                  <c:v>20.100000000000001</c:v>
                </c:pt>
                <c:pt idx="192">
                  <c:v>19.100000000000001</c:v>
                </c:pt>
                <c:pt idx="193">
                  <c:v>18.8</c:v>
                </c:pt>
                <c:pt idx="194">
                  <c:v>20</c:v>
                </c:pt>
                <c:pt idx="195">
                  <c:v>21.6</c:v>
                </c:pt>
                <c:pt idx="196">
                  <c:v>21.6</c:v>
                </c:pt>
                <c:pt idx="197">
                  <c:v>23.1</c:v>
                </c:pt>
                <c:pt idx="198">
                  <c:v>24.3</c:v>
                </c:pt>
                <c:pt idx="199">
                  <c:v>21.5</c:v>
                </c:pt>
                <c:pt idx="200">
                  <c:v>19.2</c:v>
                </c:pt>
                <c:pt idx="201">
                  <c:v>18.100000000000001</c:v>
                </c:pt>
                <c:pt idx="202">
                  <c:v>18.600000000000001</c:v>
                </c:pt>
                <c:pt idx="203">
                  <c:v>21.6</c:v>
                </c:pt>
                <c:pt idx="204">
                  <c:v>23</c:v>
                </c:pt>
                <c:pt idx="205">
                  <c:v>22.3</c:v>
                </c:pt>
                <c:pt idx="206">
                  <c:v>23.5</c:v>
                </c:pt>
                <c:pt idx="207">
                  <c:v>19.600000000000001</c:v>
                </c:pt>
                <c:pt idx="208">
                  <c:v>21.5</c:v>
                </c:pt>
                <c:pt idx="209">
                  <c:v>21.8</c:v>
                </c:pt>
                <c:pt idx="210">
                  <c:v>20.6</c:v>
                </c:pt>
                <c:pt idx="211">
                  <c:v>20.100000000000001</c:v>
                </c:pt>
                <c:pt idx="212">
                  <c:v>20.3</c:v>
                </c:pt>
                <c:pt idx="213">
                  <c:v>23.7</c:v>
                </c:pt>
                <c:pt idx="214">
                  <c:v>23.8</c:v>
                </c:pt>
                <c:pt idx="215">
                  <c:v>23.2</c:v>
                </c:pt>
                <c:pt idx="216">
                  <c:v>23.9</c:v>
                </c:pt>
                <c:pt idx="217">
                  <c:v>22.2</c:v>
                </c:pt>
                <c:pt idx="218">
                  <c:v>21.9</c:v>
                </c:pt>
                <c:pt idx="219">
                  <c:v>21.4</c:v>
                </c:pt>
                <c:pt idx="220">
                  <c:v>21.8</c:v>
                </c:pt>
                <c:pt idx="221">
                  <c:v>21.6</c:v>
                </c:pt>
                <c:pt idx="222">
                  <c:v>21.9</c:v>
                </c:pt>
                <c:pt idx="223">
                  <c:v>20.3</c:v>
                </c:pt>
                <c:pt idx="224">
                  <c:v>16.899999999999999</c:v>
                </c:pt>
                <c:pt idx="225">
                  <c:v>22.3</c:v>
                </c:pt>
                <c:pt idx="226">
                  <c:v>21.8</c:v>
                </c:pt>
                <c:pt idx="227">
                  <c:v>22.1</c:v>
                </c:pt>
                <c:pt idx="228">
                  <c:v>22.3</c:v>
                </c:pt>
                <c:pt idx="229">
                  <c:v>23.9</c:v>
                </c:pt>
                <c:pt idx="230">
                  <c:v>28.1</c:v>
                </c:pt>
                <c:pt idx="231">
                  <c:v>24</c:v>
                </c:pt>
                <c:pt idx="232">
                  <c:v>21.5</c:v>
                </c:pt>
                <c:pt idx="233">
                  <c:v>21.7</c:v>
                </c:pt>
                <c:pt idx="234">
                  <c:v>25.2</c:v>
                </c:pt>
                <c:pt idx="235">
                  <c:v>19.899999999999999</c:v>
                </c:pt>
                <c:pt idx="236">
                  <c:v>22.1</c:v>
                </c:pt>
                <c:pt idx="237">
                  <c:v>21.8</c:v>
                </c:pt>
                <c:pt idx="238">
                  <c:v>22.2</c:v>
                </c:pt>
                <c:pt idx="239">
                  <c:v>22.7</c:v>
                </c:pt>
                <c:pt idx="240">
                  <c:v>23</c:v>
                </c:pt>
                <c:pt idx="241">
                  <c:v>20.7</c:v>
                </c:pt>
                <c:pt idx="242">
                  <c:v>24.9</c:v>
                </c:pt>
                <c:pt idx="243">
                  <c:v>22.8</c:v>
                </c:pt>
                <c:pt idx="244">
                  <c:v>20.3</c:v>
                </c:pt>
                <c:pt idx="245">
                  <c:v>19.399999999999999</c:v>
                </c:pt>
                <c:pt idx="246">
                  <c:v>21.9</c:v>
                </c:pt>
                <c:pt idx="247">
                  <c:v>21.2</c:v>
                </c:pt>
                <c:pt idx="248">
                  <c:v>21.7</c:v>
                </c:pt>
                <c:pt idx="249">
                  <c:v>21</c:v>
                </c:pt>
                <c:pt idx="250">
                  <c:v>21.5</c:v>
                </c:pt>
                <c:pt idx="251">
                  <c:v>23.7</c:v>
                </c:pt>
                <c:pt idx="252">
                  <c:v>25.5</c:v>
                </c:pt>
                <c:pt idx="253">
                  <c:v>25.4</c:v>
                </c:pt>
                <c:pt idx="254">
                  <c:v>23.2</c:v>
                </c:pt>
                <c:pt idx="255">
                  <c:v>25</c:v>
                </c:pt>
                <c:pt idx="256">
                  <c:v>23.5</c:v>
                </c:pt>
                <c:pt idx="257">
                  <c:v>22.2</c:v>
                </c:pt>
                <c:pt idx="258">
                  <c:v>22.7</c:v>
                </c:pt>
                <c:pt idx="259">
                  <c:v>29.6</c:v>
                </c:pt>
                <c:pt idx="260">
                  <c:v>27.3</c:v>
                </c:pt>
                <c:pt idx="261">
                  <c:v>28.8</c:v>
                </c:pt>
                <c:pt idx="262">
                  <c:v>27.7</c:v>
                </c:pt>
                <c:pt idx="263">
                  <c:v>23.4</c:v>
                </c:pt>
                <c:pt idx="264">
                  <c:v>20.9</c:v>
                </c:pt>
                <c:pt idx="265">
                  <c:v>25.8</c:v>
                </c:pt>
                <c:pt idx="266">
                  <c:v>27.9</c:v>
                </c:pt>
                <c:pt idx="267">
                  <c:v>26.9</c:v>
                </c:pt>
                <c:pt idx="268">
                  <c:v>26.8</c:v>
                </c:pt>
                <c:pt idx="269">
                  <c:v>25.6</c:v>
                </c:pt>
                <c:pt idx="270">
                  <c:v>25.8</c:v>
                </c:pt>
                <c:pt idx="271">
                  <c:v>22.6</c:v>
                </c:pt>
                <c:pt idx="272">
                  <c:v>27.9</c:v>
                </c:pt>
                <c:pt idx="273">
                  <c:v>22.7</c:v>
                </c:pt>
                <c:pt idx="274">
                  <c:v>18.5</c:v>
                </c:pt>
                <c:pt idx="275">
                  <c:v>22.9</c:v>
                </c:pt>
                <c:pt idx="276">
                  <c:v>22.3</c:v>
                </c:pt>
                <c:pt idx="277">
                  <c:v>24.1</c:v>
                </c:pt>
                <c:pt idx="278">
                  <c:v>23.2</c:v>
                </c:pt>
                <c:pt idx="279">
                  <c:v>24.5</c:v>
                </c:pt>
                <c:pt idx="280">
                  <c:v>24.9</c:v>
                </c:pt>
                <c:pt idx="281">
                  <c:v>27.2</c:v>
                </c:pt>
                <c:pt idx="282">
                  <c:v>21.9</c:v>
                </c:pt>
                <c:pt idx="283">
                  <c:v>23.6</c:v>
                </c:pt>
                <c:pt idx="284">
                  <c:v>24.2</c:v>
                </c:pt>
                <c:pt idx="285">
                  <c:v>25.9</c:v>
                </c:pt>
                <c:pt idx="286">
                  <c:v>26.1</c:v>
                </c:pt>
                <c:pt idx="287">
                  <c:v>26.2</c:v>
                </c:pt>
                <c:pt idx="288">
                  <c:v>25.1</c:v>
                </c:pt>
                <c:pt idx="289">
                  <c:v>24.6</c:v>
                </c:pt>
                <c:pt idx="290">
                  <c:v>25.8</c:v>
                </c:pt>
                <c:pt idx="291">
                  <c:v>23.2</c:v>
                </c:pt>
                <c:pt idx="292">
                  <c:v>24.4</c:v>
                </c:pt>
                <c:pt idx="293">
                  <c:v>24.3</c:v>
                </c:pt>
                <c:pt idx="294">
                  <c:v>22.1</c:v>
                </c:pt>
                <c:pt idx="295">
                  <c:v>25.1</c:v>
                </c:pt>
                <c:pt idx="296">
                  <c:v>31.3</c:v>
                </c:pt>
                <c:pt idx="297">
                  <c:v>29.4</c:v>
                </c:pt>
                <c:pt idx="298">
                  <c:v>32.4</c:v>
                </c:pt>
                <c:pt idx="299">
                  <c:v>34.299999999999997</c:v>
                </c:pt>
                <c:pt idx="300">
                  <c:v>31.6</c:v>
                </c:pt>
                <c:pt idx="301">
                  <c:v>30.7</c:v>
                </c:pt>
                <c:pt idx="302">
                  <c:v>30.1</c:v>
                </c:pt>
                <c:pt idx="303">
                  <c:v>28.1</c:v>
                </c:pt>
                <c:pt idx="304">
                  <c:v>26</c:v>
                </c:pt>
                <c:pt idx="305">
                  <c:v>23.7</c:v>
                </c:pt>
                <c:pt idx="306">
                  <c:v>24.3</c:v>
                </c:pt>
                <c:pt idx="307">
                  <c:v>24.9</c:v>
                </c:pt>
                <c:pt idx="308">
                  <c:v>25.1</c:v>
                </c:pt>
                <c:pt idx="309">
                  <c:v>25.6</c:v>
                </c:pt>
                <c:pt idx="310">
                  <c:v>25.7</c:v>
                </c:pt>
                <c:pt idx="311">
                  <c:v>25.2</c:v>
                </c:pt>
                <c:pt idx="312">
                  <c:v>25.3</c:v>
                </c:pt>
                <c:pt idx="313">
                  <c:v>25.7</c:v>
                </c:pt>
                <c:pt idx="314">
                  <c:v>26.2</c:v>
                </c:pt>
                <c:pt idx="315">
                  <c:v>28.4</c:v>
                </c:pt>
                <c:pt idx="316">
                  <c:v>27.7</c:v>
                </c:pt>
                <c:pt idx="317">
                  <c:v>28.8</c:v>
                </c:pt>
                <c:pt idx="318">
                  <c:v>33.299999999999997</c:v>
                </c:pt>
                <c:pt idx="319">
                  <c:v>30.1</c:v>
                </c:pt>
                <c:pt idx="320">
                  <c:v>24.8</c:v>
                </c:pt>
                <c:pt idx="321">
                  <c:v>27</c:v>
                </c:pt>
                <c:pt idx="322">
                  <c:v>28.3</c:v>
                </c:pt>
                <c:pt idx="323">
                  <c:v>34.5</c:v>
                </c:pt>
                <c:pt idx="324">
                  <c:v>34.299999999999997</c:v>
                </c:pt>
                <c:pt idx="325">
                  <c:v>30.7</c:v>
                </c:pt>
                <c:pt idx="326">
                  <c:v>27.6</c:v>
                </c:pt>
                <c:pt idx="327">
                  <c:v>28.6</c:v>
                </c:pt>
                <c:pt idx="328">
                  <c:v>32.4</c:v>
                </c:pt>
                <c:pt idx="329">
                  <c:v>33.9</c:v>
                </c:pt>
                <c:pt idx="330">
                  <c:v>29.4</c:v>
                </c:pt>
                <c:pt idx="331">
                  <c:v>31</c:v>
                </c:pt>
                <c:pt idx="332">
                  <c:v>28.5</c:v>
                </c:pt>
                <c:pt idx="333">
                  <c:v>22.6</c:v>
                </c:pt>
                <c:pt idx="334">
                  <c:v>22.3</c:v>
                </c:pt>
                <c:pt idx="335">
                  <c:v>25.2</c:v>
                </c:pt>
                <c:pt idx="336">
                  <c:v>26.2</c:v>
                </c:pt>
                <c:pt idx="337">
                  <c:v>26.6</c:v>
                </c:pt>
                <c:pt idx="338">
                  <c:v>29.2</c:v>
                </c:pt>
                <c:pt idx="339">
                  <c:v>35.4</c:v>
                </c:pt>
                <c:pt idx="340">
                  <c:v>30</c:v>
                </c:pt>
                <c:pt idx="341">
                  <c:v>29.8</c:v>
                </c:pt>
                <c:pt idx="342">
                  <c:v>26.5</c:v>
                </c:pt>
                <c:pt idx="343">
                  <c:v>26.1</c:v>
                </c:pt>
                <c:pt idx="344">
                  <c:v>27.6</c:v>
                </c:pt>
                <c:pt idx="345">
                  <c:v>29.6</c:v>
                </c:pt>
                <c:pt idx="346">
                  <c:v>30.9</c:v>
                </c:pt>
                <c:pt idx="347">
                  <c:v>32.799999999999997</c:v>
                </c:pt>
                <c:pt idx="348">
                  <c:v>29.2</c:v>
                </c:pt>
                <c:pt idx="349">
                  <c:v>27.3</c:v>
                </c:pt>
                <c:pt idx="350">
                  <c:v>26.5</c:v>
                </c:pt>
                <c:pt idx="351">
                  <c:v>27.1</c:v>
                </c:pt>
                <c:pt idx="352">
                  <c:v>26.4</c:v>
                </c:pt>
                <c:pt idx="353">
                  <c:v>27.1</c:v>
                </c:pt>
                <c:pt idx="354">
                  <c:v>27.4</c:v>
                </c:pt>
                <c:pt idx="355">
                  <c:v>26.8</c:v>
                </c:pt>
                <c:pt idx="356">
                  <c:v>29.1</c:v>
                </c:pt>
                <c:pt idx="357">
                  <c:v>27.7</c:v>
                </c:pt>
                <c:pt idx="358">
                  <c:v>27.9</c:v>
                </c:pt>
                <c:pt idx="359">
                  <c:v>28.7</c:v>
                </c:pt>
                <c:pt idx="360">
                  <c:v>28.2</c:v>
                </c:pt>
                <c:pt idx="361">
                  <c:v>28</c:v>
                </c:pt>
                <c:pt idx="362">
                  <c:v>28.1</c:v>
                </c:pt>
                <c:pt idx="363">
                  <c:v>27.9</c:v>
                </c:pt>
                <c:pt idx="364">
                  <c:v>28.7</c:v>
                </c:pt>
              </c:numCache>
            </c:numRef>
          </c:xVal>
          <c:yVal>
            <c:numRef>
              <c:f>Weather_data!$AE$2:$AE$366</c:f>
              <c:numCache>
                <c:formatCode>General</c:formatCode>
                <c:ptCount val="365"/>
                <c:pt idx="0">
                  <c:v>310</c:v>
                </c:pt>
                <c:pt idx="1">
                  <c:v>724</c:v>
                </c:pt>
                <c:pt idx="2">
                  <c:v>600</c:v>
                </c:pt>
                <c:pt idx="3">
                  <c:v>399</c:v>
                </c:pt>
                <c:pt idx="4">
                  <c:v>462</c:v>
                </c:pt>
                <c:pt idx="5">
                  <c:v>310</c:v>
                </c:pt>
                <c:pt idx="6">
                  <c:v>252</c:v>
                </c:pt>
                <c:pt idx="7">
                  <c:v>268</c:v>
                </c:pt>
                <c:pt idx="8">
                  <c:v>640</c:v>
                </c:pt>
                <c:pt idx="9">
                  <c:v>480</c:v>
                </c:pt>
                <c:pt idx="10">
                  <c:v>496</c:v>
                </c:pt>
                <c:pt idx="11">
                  <c:v>558</c:v>
                </c:pt>
                <c:pt idx="12">
                  <c:v>582</c:v>
                </c:pt>
                <c:pt idx="13">
                  <c:v>641</c:v>
                </c:pt>
                <c:pt idx="14">
                  <c:v>552</c:v>
                </c:pt>
                <c:pt idx="15">
                  <c:v>483</c:v>
                </c:pt>
                <c:pt idx="16">
                  <c:v>348</c:v>
                </c:pt>
                <c:pt idx="17">
                  <c:v>486</c:v>
                </c:pt>
                <c:pt idx="18">
                  <c:v>388</c:v>
                </c:pt>
                <c:pt idx="19">
                  <c:v>200</c:v>
                </c:pt>
                <c:pt idx="20">
                  <c:v>697</c:v>
                </c:pt>
                <c:pt idx="21">
                  <c:v>691</c:v>
                </c:pt>
                <c:pt idx="22">
                  <c:v>854</c:v>
                </c:pt>
                <c:pt idx="23">
                  <c:v>610</c:v>
                </c:pt>
                <c:pt idx="24">
                  <c:v>572</c:v>
                </c:pt>
                <c:pt idx="25">
                  <c:v>485</c:v>
                </c:pt>
                <c:pt idx="26">
                  <c:v>573</c:v>
                </c:pt>
                <c:pt idx="27">
                  <c:v>407</c:v>
                </c:pt>
                <c:pt idx="28">
                  <c:v>482</c:v>
                </c:pt>
                <c:pt idx="29">
                  <c:v>689</c:v>
                </c:pt>
                <c:pt idx="30">
                  <c:v>538</c:v>
                </c:pt>
                <c:pt idx="31">
                  <c:v>429</c:v>
                </c:pt>
                <c:pt idx="32">
                  <c:v>372</c:v>
                </c:pt>
                <c:pt idx="33">
                  <c:v>202</c:v>
                </c:pt>
                <c:pt idx="34">
                  <c:v>747</c:v>
                </c:pt>
                <c:pt idx="35">
                  <c:v>779</c:v>
                </c:pt>
                <c:pt idx="36">
                  <c:v>792</c:v>
                </c:pt>
                <c:pt idx="37">
                  <c:v>576</c:v>
                </c:pt>
                <c:pt idx="38">
                  <c:v>871</c:v>
                </c:pt>
                <c:pt idx="39">
                  <c:v>801</c:v>
                </c:pt>
                <c:pt idx="40">
                  <c:v>771</c:v>
                </c:pt>
                <c:pt idx="41">
                  <c:v>856</c:v>
                </c:pt>
                <c:pt idx="42">
                  <c:v>583</c:v>
                </c:pt>
                <c:pt idx="43">
                  <c:v>664</c:v>
                </c:pt>
                <c:pt idx="44">
                  <c:v>547</c:v>
                </c:pt>
                <c:pt idx="45">
                  <c:v>716</c:v>
                </c:pt>
                <c:pt idx="46">
                  <c:v>711</c:v>
                </c:pt>
                <c:pt idx="47">
                  <c:v>765</c:v>
                </c:pt>
                <c:pt idx="48">
                  <c:v>656</c:v>
                </c:pt>
                <c:pt idx="49">
                  <c:v>530</c:v>
                </c:pt>
                <c:pt idx="50">
                  <c:v>651</c:v>
                </c:pt>
                <c:pt idx="51">
                  <c:v>589</c:v>
                </c:pt>
                <c:pt idx="52">
                  <c:v>640</c:v>
                </c:pt>
                <c:pt idx="53">
                  <c:v>278</c:v>
                </c:pt>
                <c:pt idx="54">
                  <c:v>223</c:v>
                </c:pt>
                <c:pt idx="55">
                  <c:v>44</c:v>
                </c:pt>
                <c:pt idx="56">
                  <c:v>36</c:v>
                </c:pt>
                <c:pt idx="57">
                  <c:v>42</c:v>
                </c:pt>
                <c:pt idx="58">
                  <c:v>582</c:v>
                </c:pt>
                <c:pt idx="59">
                  <c:v>478</c:v>
                </c:pt>
                <c:pt idx="60">
                  <c:v>353</c:v>
                </c:pt>
                <c:pt idx="61">
                  <c:v>223</c:v>
                </c:pt>
                <c:pt idx="62">
                  <c:v>329</c:v>
                </c:pt>
                <c:pt idx="63">
                  <c:v>394</c:v>
                </c:pt>
                <c:pt idx="64">
                  <c:v>367</c:v>
                </c:pt>
                <c:pt idx="65">
                  <c:v>447</c:v>
                </c:pt>
                <c:pt idx="66">
                  <c:v>380</c:v>
                </c:pt>
                <c:pt idx="67">
                  <c:v>336</c:v>
                </c:pt>
                <c:pt idx="68">
                  <c:v>580</c:v>
                </c:pt>
                <c:pt idx="69">
                  <c:v>696</c:v>
                </c:pt>
                <c:pt idx="70">
                  <c:v>524</c:v>
                </c:pt>
                <c:pt idx="71">
                  <c:v>595</c:v>
                </c:pt>
                <c:pt idx="72">
                  <c:v>556</c:v>
                </c:pt>
                <c:pt idx="73">
                  <c:v>670</c:v>
                </c:pt>
                <c:pt idx="74">
                  <c:v>671</c:v>
                </c:pt>
                <c:pt idx="75">
                  <c:v>657</c:v>
                </c:pt>
                <c:pt idx="76">
                  <c:v>718</c:v>
                </c:pt>
                <c:pt idx="77">
                  <c:v>601</c:v>
                </c:pt>
                <c:pt idx="78">
                  <c:v>600</c:v>
                </c:pt>
                <c:pt idx="79">
                  <c:v>508</c:v>
                </c:pt>
                <c:pt idx="80">
                  <c:v>713</c:v>
                </c:pt>
                <c:pt idx="81">
                  <c:v>664</c:v>
                </c:pt>
                <c:pt idx="82">
                  <c:v>633</c:v>
                </c:pt>
                <c:pt idx="83">
                  <c:v>591</c:v>
                </c:pt>
                <c:pt idx="84">
                  <c:v>615</c:v>
                </c:pt>
                <c:pt idx="85">
                  <c:v>570</c:v>
                </c:pt>
                <c:pt idx="86">
                  <c:v>110</c:v>
                </c:pt>
                <c:pt idx="87">
                  <c:v>253</c:v>
                </c:pt>
                <c:pt idx="88">
                  <c:v>367</c:v>
                </c:pt>
                <c:pt idx="89">
                  <c:v>606</c:v>
                </c:pt>
                <c:pt idx="90">
                  <c:v>697</c:v>
                </c:pt>
                <c:pt idx="91">
                  <c:v>586</c:v>
                </c:pt>
                <c:pt idx="92">
                  <c:v>590</c:v>
                </c:pt>
                <c:pt idx="93">
                  <c:v>429</c:v>
                </c:pt>
                <c:pt idx="94">
                  <c:v>628</c:v>
                </c:pt>
                <c:pt idx="95">
                  <c:v>608</c:v>
                </c:pt>
                <c:pt idx="96">
                  <c:v>466</c:v>
                </c:pt>
                <c:pt idx="97">
                  <c:v>537</c:v>
                </c:pt>
                <c:pt idx="98">
                  <c:v>427</c:v>
                </c:pt>
                <c:pt idx="99">
                  <c:v>629</c:v>
                </c:pt>
                <c:pt idx="100">
                  <c:v>400</c:v>
                </c:pt>
                <c:pt idx="101">
                  <c:v>622</c:v>
                </c:pt>
                <c:pt idx="102">
                  <c:v>524</c:v>
                </c:pt>
                <c:pt idx="103">
                  <c:v>524</c:v>
                </c:pt>
                <c:pt idx="104">
                  <c:v>699</c:v>
                </c:pt>
                <c:pt idx="105">
                  <c:v>538</c:v>
                </c:pt>
                <c:pt idx="106">
                  <c:v>551</c:v>
                </c:pt>
                <c:pt idx="107">
                  <c:v>773</c:v>
                </c:pt>
                <c:pt idx="108">
                  <c:v>662</c:v>
                </c:pt>
                <c:pt idx="109">
                  <c:v>652</c:v>
                </c:pt>
                <c:pt idx="110">
                  <c:v>822</c:v>
                </c:pt>
                <c:pt idx="111">
                  <c:v>793</c:v>
                </c:pt>
                <c:pt idx="112">
                  <c:v>538</c:v>
                </c:pt>
                <c:pt idx="113">
                  <c:v>502</c:v>
                </c:pt>
                <c:pt idx="114">
                  <c:v>270</c:v>
                </c:pt>
                <c:pt idx="115">
                  <c:v>477</c:v>
                </c:pt>
                <c:pt idx="116">
                  <c:v>793</c:v>
                </c:pt>
                <c:pt idx="117">
                  <c:v>662</c:v>
                </c:pt>
                <c:pt idx="118">
                  <c:v>694</c:v>
                </c:pt>
                <c:pt idx="119">
                  <c:v>476</c:v>
                </c:pt>
                <c:pt idx="120">
                  <c:v>593</c:v>
                </c:pt>
                <c:pt idx="121">
                  <c:v>797</c:v>
                </c:pt>
                <c:pt idx="122">
                  <c:v>703</c:v>
                </c:pt>
                <c:pt idx="123">
                  <c:v>670</c:v>
                </c:pt>
                <c:pt idx="124">
                  <c:v>727</c:v>
                </c:pt>
                <c:pt idx="125">
                  <c:v>263</c:v>
                </c:pt>
                <c:pt idx="126">
                  <c:v>668</c:v>
                </c:pt>
                <c:pt idx="127">
                  <c:v>556</c:v>
                </c:pt>
                <c:pt idx="128">
                  <c:v>211</c:v>
                </c:pt>
                <c:pt idx="129">
                  <c:v>438</c:v>
                </c:pt>
                <c:pt idx="130">
                  <c:v>92</c:v>
                </c:pt>
                <c:pt idx="131">
                  <c:v>215</c:v>
                </c:pt>
                <c:pt idx="132">
                  <c:v>112</c:v>
                </c:pt>
                <c:pt idx="133">
                  <c:v>151</c:v>
                </c:pt>
                <c:pt idx="134">
                  <c:v>468</c:v>
                </c:pt>
                <c:pt idx="135">
                  <c:v>479</c:v>
                </c:pt>
                <c:pt idx="136">
                  <c:v>562</c:v>
                </c:pt>
                <c:pt idx="137">
                  <c:v>683</c:v>
                </c:pt>
                <c:pt idx="138">
                  <c:v>746</c:v>
                </c:pt>
                <c:pt idx="139">
                  <c:v>739</c:v>
                </c:pt>
                <c:pt idx="140">
                  <c:v>90</c:v>
                </c:pt>
                <c:pt idx="141">
                  <c:v>284</c:v>
                </c:pt>
                <c:pt idx="142">
                  <c:v>333</c:v>
                </c:pt>
                <c:pt idx="143">
                  <c:v>492</c:v>
                </c:pt>
                <c:pt idx="144">
                  <c:v>706</c:v>
                </c:pt>
                <c:pt idx="145">
                  <c:v>769</c:v>
                </c:pt>
                <c:pt idx="146">
                  <c:v>843</c:v>
                </c:pt>
                <c:pt idx="147">
                  <c:v>750</c:v>
                </c:pt>
                <c:pt idx="148">
                  <c:v>1198</c:v>
                </c:pt>
                <c:pt idx="149">
                  <c:v>491</c:v>
                </c:pt>
                <c:pt idx="150">
                  <c:v>495</c:v>
                </c:pt>
                <c:pt idx="151">
                  <c:v>664</c:v>
                </c:pt>
                <c:pt idx="152">
                  <c:v>779</c:v>
                </c:pt>
                <c:pt idx="153">
                  <c:v>651</c:v>
                </c:pt>
                <c:pt idx="154">
                  <c:v>543</c:v>
                </c:pt>
                <c:pt idx="155">
                  <c:v>849</c:v>
                </c:pt>
                <c:pt idx="156">
                  <c:v>333</c:v>
                </c:pt>
                <c:pt idx="157">
                  <c:v>637</c:v>
                </c:pt>
                <c:pt idx="158">
                  <c:v>635</c:v>
                </c:pt>
                <c:pt idx="159">
                  <c:v>610</c:v>
                </c:pt>
                <c:pt idx="160">
                  <c:v>578</c:v>
                </c:pt>
                <c:pt idx="161">
                  <c:v>584</c:v>
                </c:pt>
                <c:pt idx="162">
                  <c:v>605</c:v>
                </c:pt>
                <c:pt idx="163">
                  <c:v>523</c:v>
                </c:pt>
                <c:pt idx="164">
                  <c:v>589</c:v>
                </c:pt>
                <c:pt idx="165">
                  <c:v>613</c:v>
                </c:pt>
                <c:pt idx="166">
                  <c:v>655</c:v>
                </c:pt>
                <c:pt idx="167">
                  <c:v>686</c:v>
                </c:pt>
                <c:pt idx="168">
                  <c:v>648</c:v>
                </c:pt>
                <c:pt idx="169">
                  <c:v>712</c:v>
                </c:pt>
                <c:pt idx="170">
                  <c:v>496</c:v>
                </c:pt>
                <c:pt idx="171">
                  <c:v>655</c:v>
                </c:pt>
                <c:pt idx="172">
                  <c:v>677</c:v>
                </c:pt>
                <c:pt idx="173">
                  <c:v>685</c:v>
                </c:pt>
                <c:pt idx="174">
                  <c:v>618</c:v>
                </c:pt>
                <c:pt idx="175">
                  <c:v>708</c:v>
                </c:pt>
                <c:pt idx="176">
                  <c:v>712</c:v>
                </c:pt>
                <c:pt idx="177">
                  <c:v>437</c:v>
                </c:pt>
                <c:pt idx="178">
                  <c:v>623</c:v>
                </c:pt>
                <c:pt idx="179">
                  <c:v>566</c:v>
                </c:pt>
                <c:pt idx="180">
                  <c:v>529</c:v>
                </c:pt>
                <c:pt idx="181">
                  <c:v>164</c:v>
                </c:pt>
                <c:pt idx="182">
                  <c:v>186</c:v>
                </c:pt>
                <c:pt idx="183">
                  <c:v>711</c:v>
                </c:pt>
                <c:pt idx="184">
                  <c:v>257</c:v>
                </c:pt>
                <c:pt idx="185">
                  <c:v>93</c:v>
                </c:pt>
                <c:pt idx="186">
                  <c:v>318</c:v>
                </c:pt>
                <c:pt idx="187">
                  <c:v>542</c:v>
                </c:pt>
                <c:pt idx="188">
                  <c:v>654</c:v>
                </c:pt>
                <c:pt idx="189">
                  <c:v>664</c:v>
                </c:pt>
                <c:pt idx="190">
                  <c:v>708</c:v>
                </c:pt>
                <c:pt idx="191">
                  <c:v>445</c:v>
                </c:pt>
                <c:pt idx="192">
                  <c:v>509</c:v>
                </c:pt>
                <c:pt idx="193">
                  <c:v>510</c:v>
                </c:pt>
                <c:pt idx="194">
                  <c:v>571</c:v>
                </c:pt>
                <c:pt idx="195">
                  <c:v>651</c:v>
                </c:pt>
                <c:pt idx="196">
                  <c:v>691</c:v>
                </c:pt>
                <c:pt idx="197">
                  <c:v>727</c:v>
                </c:pt>
                <c:pt idx="198">
                  <c:v>525</c:v>
                </c:pt>
                <c:pt idx="199">
                  <c:v>612</c:v>
                </c:pt>
                <c:pt idx="200">
                  <c:v>550</c:v>
                </c:pt>
                <c:pt idx="201">
                  <c:v>316</c:v>
                </c:pt>
                <c:pt idx="202">
                  <c:v>137</c:v>
                </c:pt>
                <c:pt idx="203">
                  <c:v>755</c:v>
                </c:pt>
                <c:pt idx="204">
                  <c:v>938</c:v>
                </c:pt>
                <c:pt idx="205">
                  <c:v>543</c:v>
                </c:pt>
                <c:pt idx="206">
                  <c:v>605</c:v>
                </c:pt>
                <c:pt idx="207">
                  <c:v>642</c:v>
                </c:pt>
                <c:pt idx="208">
                  <c:v>636</c:v>
                </c:pt>
                <c:pt idx="209">
                  <c:v>622</c:v>
                </c:pt>
                <c:pt idx="210">
                  <c:v>677</c:v>
                </c:pt>
                <c:pt idx="211">
                  <c:v>593</c:v>
                </c:pt>
                <c:pt idx="212">
                  <c:v>448</c:v>
                </c:pt>
                <c:pt idx="213">
                  <c:v>722</c:v>
                </c:pt>
                <c:pt idx="214">
                  <c:v>690</c:v>
                </c:pt>
                <c:pt idx="215">
                  <c:v>760</c:v>
                </c:pt>
                <c:pt idx="216">
                  <c:v>693</c:v>
                </c:pt>
                <c:pt idx="217">
                  <c:v>411</c:v>
                </c:pt>
                <c:pt idx="218">
                  <c:v>779</c:v>
                </c:pt>
                <c:pt idx="219">
                  <c:v>603</c:v>
                </c:pt>
                <c:pt idx="220">
                  <c:v>626</c:v>
                </c:pt>
                <c:pt idx="221">
                  <c:v>804</c:v>
                </c:pt>
                <c:pt idx="222">
                  <c:v>606</c:v>
                </c:pt>
                <c:pt idx="223">
                  <c:v>747</c:v>
                </c:pt>
                <c:pt idx="224">
                  <c:v>329</c:v>
                </c:pt>
                <c:pt idx="225">
                  <c:v>825</c:v>
                </c:pt>
                <c:pt idx="226">
                  <c:v>574</c:v>
                </c:pt>
                <c:pt idx="227">
                  <c:v>711</c:v>
                </c:pt>
                <c:pt idx="228">
                  <c:v>743</c:v>
                </c:pt>
                <c:pt idx="229">
                  <c:v>711</c:v>
                </c:pt>
                <c:pt idx="230">
                  <c:v>728</c:v>
                </c:pt>
                <c:pt idx="231">
                  <c:v>698</c:v>
                </c:pt>
                <c:pt idx="232">
                  <c:v>784</c:v>
                </c:pt>
                <c:pt idx="233">
                  <c:v>549</c:v>
                </c:pt>
                <c:pt idx="234">
                  <c:v>736</c:v>
                </c:pt>
                <c:pt idx="235">
                  <c:v>564</c:v>
                </c:pt>
                <c:pt idx="236">
                  <c:v>713</c:v>
                </c:pt>
                <c:pt idx="237">
                  <c:v>769</c:v>
                </c:pt>
                <c:pt idx="238">
                  <c:v>671</c:v>
                </c:pt>
                <c:pt idx="239">
                  <c:v>397</c:v>
                </c:pt>
                <c:pt idx="240">
                  <c:v>497</c:v>
                </c:pt>
                <c:pt idx="241">
                  <c:v>556</c:v>
                </c:pt>
                <c:pt idx="242">
                  <c:v>427</c:v>
                </c:pt>
                <c:pt idx="243">
                  <c:v>776</c:v>
                </c:pt>
                <c:pt idx="244">
                  <c:v>543</c:v>
                </c:pt>
                <c:pt idx="245">
                  <c:v>280</c:v>
                </c:pt>
                <c:pt idx="246">
                  <c:v>766</c:v>
                </c:pt>
                <c:pt idx="247">
                  <c:v>508</c:v>
                </c:pt>
                <c:pt idx="248">
                  <c:v>744</c:v>
                </c:pt>
                <c:pt idx="249">
                  <c:v>691</c:v>
                </c:pt>
                <c:pt idx="250">
                  <c:v>704</c:v>
                </c:pt>
                <c:pt idx="251">
                  <c:v>310</c:v>
                </c:pt>
                <c:pt idx="252">
                  <c:v>652</c:v>
                </c:pt>
                <c:pt idx="253">
                  <c:v>712</c:v>
                </c:pt>
                <c:pt idx="254">
                  <c:v>549</c:v>
                </c:pt>
                <c:pt idx="255">
                  <c:v>718</c:v>
                </c:pt>
                <c:pt idx="256">
                  <c:v>692</c:v>
                </c:pt>
                <c:pt idx="257">
                  <c:v>612</c:v>
                </c:pt>
                <c:pt idx="258">
                  <c:v>314</c:v>
                </c:pt>
                <c:pt idx="259">
                  <c:v>505</c:v>
                </c:pt>
                <c:pt idx="260">
                  <c:v>743</c:v>
                </c:pt>
                <c:pt idx="261">
                  <c:v>433</c:v>
                </c:pt>
                <c:pt idx="262">
                  <c:v>598</c:v>
                </c:pt>
                <c:pt idx="263">
                  <c:v>510</c:v>
                </c:pt>
                <c:pt idx="264">
                  <c:v>269</c:v>
                </c:pt>
                <c:pt idx="265">
                  <c:v>520</c:v>
                </c:pt>
                <c:pt idx="266">
                  <c:v>668</c:v>
                </c:pt>
                <c:pt idx="267">
                  <c:v>708</c:v>
                </c:pt>
                <c:pt idx="268">
                  <c:v>494</c:v>
                </c:pt>
                <c:pt idx="269">
                  <c:v>578</c:v>
                </c:pt>
                <c:pt idx="270">
                  <c:v>467</c:v>
                </c:pt>
                <c:pt idx="271">
                  <c:v>753</c:v>
                </c:pt>
                <c:pt idx="272">
                  <c:v>716</c:v>
                </c:pt>
                <c:pt idx="273">
                  <c:v>643</c:v>
                </c:pt>
                <c:pt idx="274">
                  <c:v>333</c:v>
                </c:pt>
                <c:pt idx="275">
                  <c:v>875</c:v>
                </c:pt>
                <c:pt idx="276">
                  <c:v>718</c:v>
                </c:pt>
                <c:pt idx="277">
                  <c:v>788</c:v>
                </c:pt>
                <c:pt idx="278">
                  <c:v>608</c:v>
                </c:pt>
                <c:pt idx="279">
                  <c:v>825</c:v>
                </c:pt>
                <c:pt idx="280">
                  <c:v>837</c:v>
                </c:pt>
                <c:pt idx="281">
                  <c:v>465</c:v>
                </c:pt>
                <c:pt idx="282">
                  <c:v>606</c:v>
                </c:pt>
                <c:pt idx="283">
                  <c:v>795</c:v>
                </c:pt>
                <c:pt idx="284">
                  <c:v>750</c:v>
                </c:pt>
                <c:pt idx="285">
                  <c:v>903</c:v>
                </c:pt>
                <c:pt idx="286">
                  <c:v>633</c:v>
                </c:pt>
                <c:pt idx="287">
                  <c:v>691</c:v>
                </c:pt>
                <c:pt idx="288">
                  <c:v>689</c:v>
                </c:pt>
                <c:pt idx="289">
                  <c:v>593</c:v>
                </c:pt>
                <c:pt idx="290">
                  <c:v>787</c:v>
                </c:pt>
                <c:pt idx="291">
                  <c:v>470</c:v>
                </c:pt>
                <c:pt idx="292">
                  <c:v>414</c:v>
                </c:pt>
                <c:pt idx="293">
                  <c:v>322</c:v>
                </c:pt>
                <c:pt idx="294">
                  <c:v>197</c:v>
                </c:pt>
                <c:pt idx="295">
                  <c:v>152</c:v>
                </c:pt>
                <c:pt idx="296">
                  <c:v>563</c:v>
                </c:pt>
                <c:pt idx="297">
                  <c:v>387</c:v>
                </c:pt>
                <c:pt idx="298">
                  <c:v>647</c:v>
                </c:pt>
                <c:pt idx="299">
                  <c:v>593</c:v>
                </c:pt>
                <c:pt idx="300">
                  <c:v>508</c:v>
                </c:pt>
                <c:pt idx="301">
                  <c:v>517</c:v>
                </c:pt>
                <c:pt idx="302">
                  <c:v>485</c:v>
                </c:pt>
                <c:pt idx="303">
                  <c:v>544</c:v>
                </c:pt>
                <c:pt idx="304">
                  <c:v>314</c:v>
                </c:pt>
                <c:pt idx="305">
                  <c:v>786</c:v>
                </c:pt>
                <c:pt idx="306">
                  <c:v>808</c:v>
                </c:pt>
                <c:pt idx="307">
                  <c:v>880</c:v>
                </c:pt>
                <c:pt idx="308">
                  <c:v>744</c:v>
                </c:pt>
                <c:pt idx="309">
                  <c:v>737</c:v>
                </c:pt>
                <c:pt idx="310">
                  <c:v>593</c:v>
                </c:pt>
                <c:pt idx="311">
                  <c:v>790</c:v>
                </c:pt>
                <c:pt idx="312">
                  <c:v>790</c:v>
                </c:pt>
                <c:pt idx="313">
                  <c:v>713</c:v>
                </c:pt>
                <c:pt idx="314">
                  <c:v>847</c:v>
                </c:pt>
                <c:pt idx="315">
                  <c:v>704</c:v>
                </c:pt>
                <c:pt idx="316">
                  <c:v>662</c:v>
                </c:pt>
                <c:pt idx="317">
                  <c:v>501</c:v>
                </c:pt>
                <c:pt idx="318">
                  <c:v>530</c:v>
                </c:pt>
                <c:pt idx="319">
                  <c:v>665</c:v>
                </c:pt>
                <c:pt idx="320">
                  <c:v>745</c:v>
                </c:pt>
                <c:pt idx="321">
                  <c:v>755</c:v>
                </c:pt>
                <c:pt idx="322">
                  <c:v>637</c:v>
                </c:pt>
                <c:pt idx="323">
                  <c:v>351</c:v>
                </c:pt>
                <c:pt idx="324">
                  <c:v>286</c:v>
                </c:pt>
                <c:pt idx="325">
                  <c:v>592</c:v>
                </c:pt>
                <c:pt idx="326">
                  <c:v>667</c:v>
                </c:pt>
                <c:pt idx="327">
                  <c:v>588</c:v>
                </c:pt>
                <c:pt idx="328">
                  <c:v>659</c:v>
                </c:pt>
                <c:pt idx="329">
                  <c:v>527</c:v>
                </c:pt>
                <c:pt idx="330">
                  <c:v>467</c:v>
                </c:pt>
                <c:pt idx="331">
                  <c:v>326</c:v>
                </c:pt>
                <c:pt idx="332">
                  <c:v>487</c:v>
                </c:pt>
                <c:pt idx="333">
                  <c:v>329</c:v>
                </c:pt>
                <c:pt idx="334">
                  <c:v>70</c:v>
                </c:pt>
                <c:pt idx="335">
                  <c:v>475</c:v>
                </c:pt>
                <c:pt idx="336">
                  <c:v>566</c:v>
                </c:pt>
                <c:pt idx="337">
                  <c:v>605</c:v>
                </c:pt>
                <c:pt idx="338">
                  <c:v>446</c:v>
                </c:pt>
                <c:pt idx="339">
                  <c:v>422</c:v>
                </c:pt>
                <c:pt idx="340">
                  <c:v>488</c:v>
                </c:pt>
                <c:pt idx="341">
                  <c:v>215</c:v>
                </c:pt>
                <c:pt idx="342">
                  <c:v>708</c:v>
                </c:pt>
                <c:pt idx="343">
                  <c:v>573</c:v>
                </c:pt>
                <c:pt idx="344">
                  <c:v>568</c:v>
                </c:pt>
                <c:pt idx="345">
                  <c:v>410</c:v>
                </c:pt>
                <c:pt idx="346">
                  <c:v>555</c:v>
                </c:pt>
                <c:pt idx="347">
                  <c:v>489</c:v>
                </c:pt>
                <c:pt idx="348">
                  <c:v>545</c:v>
                </c:pt>
                <c:pt idx="349">
                  <c:v>645</c:v>
                </c:pt>
                <c:pt idx="350">
                  <c:v>655</c:v>
                </c:pt>
                <c:pt idx="351">
                  <c:v>901</c:v>
                </c:pt>
                <c:pt idx="352">
                  <c:v>485</c:v>
                </c:pt>
                <c:pt idx="353">
                  <c:v>677</c:v>
                </c:pt>
                <c:pt idx="354">
                  <c:v>654</c:v>
                </c:pt>
                <c:pt idx="355">
                  <c:v>696</c:v>
                </c:pt>
                <c:pt idx="356">
                  <c:v>625</c:v>
                </c:pt>
                <c:pt idx="357">
                  <c:v>536</c:v>
                </c:pt>
                <c:pt idx="358">
                  <c:v>314</c:v>
                </c:pt>
                <c:pt idx="359">
                  <c:v>510</c:v>
                </c:pt>
                <c:pt idx="360">
                  <c:v>501</c:v>
                </c:pt>
                <c:pt idx="361">
                  <c:v>588</c:v>
                </c:pt>
                <c:pt idx="362">
                  <c:v>515</c:v>
                </c:pt>
                <c:pt idx="363">
                  <c:v>387</c:v>
                </c:pt>
                <c:pt idx="36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9-4FBD-ADB2-857BBD601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592880"/>
        <c:axId val="1324580880"/>
      </c:scatterChart>
      <c:valAx>
        <c:axId val="132459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Max Temp(C)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80880"/>
        <c:crosses val="autoZero"/>
        <c:crossBetween val="midCat"/>
      </c:valAx>
      <c:valAx>
        <c:axId val="13245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Number of Pedestrians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59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4.1B.2).</a:t>
            </a:r>
            <a:r>
              <a:rPr lang="en-AU" sz="3000" baseline="0"/>
              <a:t> Exposure vs Pedestrian 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JackPesch Bridge)</a:t>
            </a:r>
            <a:endParaRPr lang="en-AU" sz="3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Weather_data!$AH$2:$AH$366</c:f>
              <c:numCache>
                <c:formatCode>General</c:formatCode>
                <c:ptCount val="365"/>
                <c:pt idx="0">
                  <c:v>10.1</c:v>
                </c:pt>
                <c:pt idx="1">
                  <c:v>17.8</c:v>
                </c:pt>
                <c:pt idx="2">
                  <c:v>23.4</c:v>
                </c:pt>
                <c:pt idx="3">
                  <c:v>26.4</c:v>
                </c:pt>
                <c:pt idx="4">
                  <c:v>23.8</c:v>
                </c:pt>
                <c:pt idx="5">
                  <c:v>16.8</c:v>
                </c:pt>
                <c:pt idx="6">
                  <c:v>19.600000000000001</c:v>
                </c:pt>
                <c:pt idx="7">
                  <c:v>12.6</c:v>
                </c:pt>
                <c:pt idx="8">
                  <c:v>20</c:v>
                </c:pt>
                <c:pt idx="9">
                  <c:v>27</c:v>
                </c:pt>
                <c:pt idx="10">
                  <c:v>25.5</c:v>
                </c:pt>
                <c:pt idx="11">
                  <c:v>24.5</c:v>
                </c:pt>
                <c:pt idx="12">
                  <c:v>27.3</c:v>
                </c:pt>
                <c:pt idx="13">
                  <c:v>26.2</c:v>
                </c:pt>
                <c:pt idx="14">
                  <c:v>28.4</c:v>
                </c:pt>
                <c:pt idx="15">
                  <c:v>29.4</c:v>
                </c:pt>
                <c:pt idx="16">
                  <c:v>27.3</c:v>
                </c:pt>
                <c:pt idx="17">
                  <c:v>26.4</c:v>
                </c:pt>
                <c:pt idx="18">
                  <c:v>24.3</c:v>
                </c:pt>
                <c:pt idx="19">
                  <c:v>12.8</c:v>
                </c:pt>
                <c:pt idx="20">
                  <c:v>22.1</c:v>
                </c:pt>
                <c:pt idx="21">
                  <c:v>20</c:v>
                </c:pt>
                <c:pt idx="22">
                  <c:v>21.6</c:v>
                </c:pt>
                <c:pt idx="23">
                  <c:v>23.2</c:v>
                </c:pt>
                <c:pt idx="24">
                  <c:v>20.8</c:v>
                </c:pt>
                <c:pt idx="25">
                  <c:v>13</c:v>
                </c:pt>
                <c:pt idx="26">
                  <c:v>16.3</c:v>
                </c:pt>
                <c:pt idx="27">
                  <c:v>22</c:v>
                </c:pt>
                <c:pt idx="28">
                  <c:v>24.2</c:v>
                </c:pt>
                <c:pt idx="29">
                  <c:v>25.1</c:v>
                </c:pt>
                <c:pt idx="30">
                  <c:v>24.2</c:v>
                </c:pt>
                <c:pt idx="31">
                  <c:v>26.1</c:v>
                </c:pt>
                <c:pt idx="32">
                  <c:v>14.9</c:v>
                </c:pt>
                <c:pt idx="33">
                  <c:v>10.199999999999999</c:v>
                </c:pt>
                <c:pt idx="34">
                  <c:v>21</c:v>
                </c:pt>
                <c:pt idx="35">
                  <c:v>19.8</c:v>
                </c:pt>
                <c:pt idx="36">
                  <c:v>20.399999999999999</c:v>
                </c:pt>
                <c:pt idx="37">
                  <c:v>26.7</c:v>
                </c:pt>
                <c:pt idx="38">
                  <c:v>25.7</c:v>
                </c:pt>
                <c:pt idx="39">
                  <c:v>27.4</c:v>
                </c:pt>
                <c:pt idx="40">
                  <c:v>28.6</c:v>
                </c:pt>
                <c:pt idx="41">
                  <c:v>27</c:v>
                </c:pt>
                <c:pt idx="42">
                  <c:v>19.5</c:v>
                </c:pt>
                <c:pt idx="43">
                  <c:v>27</c:v>
                </c:pt>
                <c:pt idx="44">
                  <c:v>17.399999999999999</c:v>
                </c:pt>
                <c:pt idx="45">
                  <c:v>14.9</c:v>
                </c:pt>
                <c:pt idx="46">
                  <c:v>24.6</c:v>
                </c:pt>
                <c:pt idx="47">
                  <c:v>24.8</c:v>
                </c:pt>
                <c:pt idx="48">
                  <c:v>26.9</c:v>
                </c:pt>
                <c:pt idx="49">
                  <c:v>22</c:v>
                </c:pt>
                <c:pt idx="50">
                  <c:v>18.100000000000001</c:v>
                </c:pt>
                <c:pt idx="51">
                  <c:v>23.1</c:v>
                </c:pt>
                <c:pt idx="52">
                  <c:v>18</c:v>
                </c:pt>
                <c:pt idx="53">
                  <c:v>17.399999999999999</c:v>
                </c:pt>
                <c:pt idx="54">
                  <c:v>16.600000000000001</c:v>
                </c:pt>
                <c:pt idx="55">
                  <c:v>1.6</c:v>
                </c:pt>
                <c:pt idx="56">
                  <c:v>3.8</c:v>
                </c:pt>
                <c:pt idx="57">
                  <c:v>17.399999999999999</c:v>
                </c:pt>
                <c:pt idx="58">
                  <c:v>20.5</c:v>
                </c:pt>
                <c:pt idx="59">
                  <c:v>23.7</c:v>
                </c:pt>
                <c:pt idx="60">
                  <c:v>24</c:v>
                </c:pt>
                <c:pt idx="61">
                  <c:v>12.5</c:v>
                </c:pt>
                <c:pt idx="62">
                  <c:v>13.1</c:v>
                </c:pt>
                <c:pt idx="63">
                  <c:v>24.3</c:v>
                </c:pt>
                <c:pt idx="64">
                  <c:v>15.4</c:v>
                </c:pt>
                <c:pt idx="65">
                  <c:v>24.9</c:v>
                </c:pt>
                <c:pt idx="66">
                  <c:v>23.9</c:v>
                </c:pt>
                <c:pt idx="67">
                  <c:v>20.8</c:v>
                </c:pt>
                <c:pt idx="68">
                  <c:v>15.6</c:v>
                </c:pt>
                <c:pt idx="69">
                  <c:v>14.7</c:v>
                </c:pt>
                <c:pt idx="70">
                  <c:v>18</c:v>
                </c:pt>
                <c:pt idx="71">
                  <c:v>21.9</c:v>
                </c:pt>
                <c:pt idx="72">
                  <c:v>21.2</c:v>
                </c:pt>
                <c:pt idx="73">
                  <c:v>14.6</c:v>
                </c:pt>
                <c:pt idx="74">
                  <c:v>19.8</c:v>
                </c:pt>
                <c:pt idx="75">
                  <c:v>20.5</c:v>
                </c:pt>
                <c:pt idx="76">
                  <c:v>22.1</c:v>
                </c:pt>
                <c:pt idx="77">
                  <c:v>21.4</c:v>
                </c:pt>
                <c:pt idx="78">
                  <c:v>19.899999999999999</c:v>
                </c:pt>
                <c:pt idx="79">
                  <c:v>22.5</c:v>
                </c:pt>
                <c:pt idx="80">
                  <c:v>22.8</c:v>
                </c:pt>
                <c:pt idx="81">
                  <c:v>23</c:v>
                </c:pt>
                <c:pt idx="82">
                  <c:v>22.1</c:v>
                </c:pt>
                <c:pt idx="83">
                  <c:v>21.3</c:v>
                </c:pt>
                <c:pt idx="84">
                  <c:v>15.9</c:v>
                </c:pt>
                <c:pt idx="85">
                  <c:v>19.100000000000001</c:v>
                </c:pt>
                <c:pt idx="86">
                  <c:v>3.9</c:v>
                </c:pt>
                <c:pt idx="87">
                  <c:v>9</c:v>
                </c:pt>
                <c:pt idx="88">
                  <c:v>14.2</c:v>
                </c:pt>
                <c:pt idx="89">
                  <c:v>15.8</c:v>
                </c:pt>
                <c:pt idx="90">
                  <c:v>21.4</c:v>
                </c:pt>
                <c:pt idx="91">
                  <c:v>18.3</c:v>
                </c:pt>
                <c:pt idx="92">
                  <c:v>20.8</c:v>
                </c:pt>
                <c:pt idx="93">
                  <c:v>16.7</c:v>
                </c:pt>
                <c:pt idx="94">
                  <c:v>20.9</c:v>
                </c:pt>
                <c:pt idx="95">
                  <c:v>18.600000000000001</c:v>
                </c:pt>
                <c:pt idx="96">
                  <c:v>19.3</c:v>
                </c:pt>
                <c:pt idx="97">
                  <c:v>18.5</c:v>
                </c:pt>
                <c:pt idx="98">
                  <c:v>15.3</c:v>
                </c:pt>
                <c:pt idx="99">
                  <c:v>18.899999999999999</c:v>
                </c:pt>
                <c:pt idx="100">
                  <c:v>19.100000000000001</c:v>
                </c:pt>
                <c:pt idx="101">
                  <c:v>16.8</c:v>
                </c:pt>
                <c:pt idx="102">
                  <c:v>14.7</c:v>
                </c:pt>
                <c:pt idx="103">
                  <c:v>16.899999999999999</c:v>
                </c:pt>
                <c:pt idx="104">
                  <c:v>16.8</c:v>
                </c:pt>
                <c:pt idx="105">
                  <c:v>16.3</c:v>
                </c:pt>
                <c:pt idx="106">
                  <c:v>15.6</c:v>
                </c:pt>
                <c:pt idx="107">
                  <c:v>16.5</c:v>
                </c:pt>
                <c:pt idx="108">
                  <c:v>18.2</c:v>
                </c:pt>
                <c:pt idx="109">
                  <c:v>18.600000000000001</c:v>
                </c:pt>
                <c:pt idx="110">
                  <c:v>16.2</c:v>
                </c:pt>
                <c:pt idx="111">
                  <c:v>14.9</c:v>
                </c:pt>
                <c:pt idx="112">
                  <c:v>16.8</c:v>
                </c:pt>
                <c:pt idx="113">
                  <c:v>13.6</c:v>
                </c:pt>
                <c:pt idx="114">
                  <c:v>11.3</c:v>
                </c:pt>
                <c:pt idx="115">
                  <c:v>7.9</c:v>
                </c:pt>
                <c:pt idx="116">
                  <c:v>15.3</c:v>
                </c:pt>
                <c:pt idx="117">
                  <c:v>15.1</c:v>
                </c:pt>
                <c:pt idx="118">
                  <c:v>14.6</c:v>
                </c:pt>
                <c:pt idx="119">
                  <c:v>16.100000000000001</c:v>
                </c:pt>
                <c:pt idx="120">
                  <c:v>10.3</c:v>
                </c:pt>
                <c:pt idx="121">
                  <c:v>14.7</c:v>
                </c:pt>
                <c:pt idx="122">
                  <c:v>15.1</c:v>
                </c:pt>
                <c:pt idx="123">
                  <c:v>13</c:v>
                </c:pt>
                <c:pt idx="124">
                  <c:v>15.4</c:v>
                </c:pt>
                <c:pt idx="125">
                  <c:v>11.5</c:v>
                </c:pt>
                <c:pt idx="126">
                  <c:v>9.8000000000000007</c:v>
                </c:pt>
                <c:pt idx="127">
                  <c:v>10.5</c:v>
                </c:pt>
                <c:pt idx="128">
                  <c:v>5.3</c:v>
                </c:pt>
                <c:pt idx="129">
                  <c:v>9</c:v>
                </c:pt>
                <c:pt idx="130">
                  <c:v>5.2</c:v>
                </c:pt>
                <c:pt idx="131">
                  <c:v>6.1</c:v>
                </c:pt>
                <c:pt idx="132">
                  <c:v>6.1</c:v>
                </c:pt>
                <c:pt idx="133">
                  <c:v>6.6</c:v>
                </c:pt>
                <c:pt idx="134">
                  <c:v>11.7</c:v>
                </c:pt>
                <c:pt idx="135">
                  <c:v>10.8</c:v>
                </c:pt>
                <c:pt idx="136">
                  <c:v>8.9</c:v>
                </c:pt>
                <c:pt idx="137">
                  <c:v>12</c:v>
                </c:pt>
                <c:pt idx="138">
                  <c:v>9.4</c:v>
                </c:pt>
                <c:pt idx="139">
                  <c:v>6.5</c:v>
                </c:pt>
                <c:pt idx="140">
                  <c:v>5</c:v>
                </c:pt>
                <c:pt idx="141">
                  <c:v>8.1999999999999993</c:v>
                </c:pt>
                <c:pt idx="142">
                  <c:v>10.7</c:v>
                </c:pt>
                <c:pt idx="143">
                  <c:v>14.1</c:v>
                </c:pt>
                <c:pt idx="144">
                  <c:v>11.2</c:v>
                </c:pt>
                <c:pt idx="145">
                  <c:v>13.7</c:v>
                </c:pt>
                <c:pt idx="146">
                  <c:v>13.2</c:v>
                </c:pt>
                <c:pt idx="147">
                  <c:v>14.6</c:v>
                </c:pt>
                <c:pt idx="148">
                  <c:v>14.5</c:v>
                </c:pt>
                <c:pt idx="149">
                  <c:v>8.4</c:v>
                </c:pt>
                <c:pt idx="150">
                  <c:v>13.4</c:v>
                </c:pt>
                <c:pt idx="151">
                  <c:v>14.4</c:v>
                </c:pt>
                <c:pt idx="152">
                  <c:v>14.3</c:v>
                </c:pt>
                <c:pt idx="153">
                  <c:v>12.7</c:v>
                </c:pt>
                <c:pt idx="154">
                  <c:v>13.9</c:v>
                </c:pt>
                <c:pt idx="155">
                  <c:v>14.2</c:v>
                </c:pt>
                <c:pt idx="156">
                  <c:v>11.1</c:v>
                </c:pt>
                <c:pt idx="157">
                  <c:v>7.9</c:v>
                </c:pt>
                <c:pt idx="158">
                  <c:v>14.1</c:v>
                </c:pt>
                <c:pt idx="159">
                  <c:v>14</c:v>
                </c:pt>
                <c:pt idx="160">
                  <c:v>14</c:v>
                </c:pt>
                <c:pt idx="161">
                  <c:v>14</c:v>
                </c:pt>
                <c:pt idx="162">
                  <c:v>13.5</c:v>
                </c:pt>
                <c:pt idx="163">
                  <c:v>13.7</c:v>
                </c:pt>
                <c:pt idx="164">
                  <c:v>11.9</c:v>
                </c:pt>
                <c:pt idx="165">
                  <c:v>13.8</c:v>
                </c:pt>
                <c:pt idx="166">
                  <c:v>13.8</c:v>
                </c:pt>
                <c:pt idx="167">
                  <c:v>13.9</c:v>
                </c:pt>
                <c:pt idx="168">
                  <c:v>12.6</c:v>
                </c:pt>
                <c:pt idx="169">
                  <c:v>13.3</c:v>
                </c:pt>
                <c:pt idx="170">
                  <c:v>12.5</c:v>
                </c:pt>
                <c:pt idx="171">
                  <c:v>13.9</c:v>
                </c:pt>
                <c:pt idx="172">
                  <c:v>13.9</c:v>
                </c:pt>
                <c:pt idx="173">
                  <c:v>13.9</c:v>
                </c:pt>
                <c:pt idx="174">
                  <c:v>13.9</c:v>
                </c:pt>
                <c:pt idx="175">
                  <c:v>13.9</c:v>
                </c:pt>
                <c:pt idx="176">
                  <c:v>13.9</c:v>
                </c:pt>
                <c:pt idx="177">
                  <c:v>13.3</c:v>
                </c:pt>
                <c:pt idx="178">
                  <c:v>12.8</c:v>
                </c:pt>
                <c:pt idx="179">
                  <c:v>9.5</c:v>
                </c:pt>
                <c:pt idx="180">
                  <c:v>11.7</c:v>
                </c:pt>
                <c:pt idx="181">
                  <c:v>5</c:v>
                </c:pt>
                <c:pt idx="182">
                  <c:v>5.2</c:v>
                </c:pt>
                <c:pt idx="183">
                  <c:v>12.5</c:v>
                </c:pt>
                <c:pt idx="184">
                  <c:v>5.5</c:v>
                </c:pt>
                <c:pt idx="185">
                  <c:v>5.3</c:v>
                </c:pt>
                <c:pt idx="186">
                  <c:v>11.9</c:v>
                </c:pt>
                <c:pt idx="187">
                  <c:v>14.2</c:v>
                </c:pt>
                <c:pt idx="188">
                  <c:v>14.3</c:v>
                </c:pt>
                <c:pt idx="189">
                  <c:v>14.3</c:v>
                </c:pt>
                <c:pt idx="190">
                  <c:v>12.9</c:v>
                </c:pt>
                <c:pt idx="191">
                  <c:v>12.2</c:v>
                </c:pt>
                <c:pt idx="192">
                  <c:v>11.1</c:v>
                </c:pt>
                <c:pt idx="193">
                  <c:v>14.2</c:v>
                </c:pt>
                <c:pt idx="194">
                  <c:v>14.6</c:v>
                </c:pt>
                <c:pt idx="195">
                  <c:v>14.5</c:v>
                </c:pt>
                <c:pt idx="196">
                  <c:v>14.7</c:v>
                </c:pt>
                <c:pt idx="197">
                  <c:v>13.7</c:v>
                </c:pt>
                <c:pt idx="198">
                  <c:v>14.7</c:v>
                </c:pt>
                <c:pt idx="199">
                  <c:v>13.4</c:v>
                </c:pt>
                <c:pt idx="200">
                  <c:v>8.5</c:v>
                </c:pt>
                <c:pt idx="201">
                  <c:v>7</c:v>
                </c:pt>
                <c:pt idx="202">
                  <c:v>7</c:v>
                </c:pt>
                <c:pt idx="203">
                  <c:v>11.6</c:v>
                </c:pt>
                <c:pt idx="204">
                  <c:v>14.7</c:v>
                </c:pt>
                <c:pt idx="205">
                  <c:v>15</c:v>
                </c:pt>
                <c:pt idx="206">
                  <c:v>15.2</c:v>
                </c:pt>
                <c:pt idx="207">
                  <c:v>15.6</c:v>
                </c:pt>
                <c:pt idx="208">
                  <c:v>15.7</c:v>
                </c:pt>
                <c:pt idx="209">
                  <c:v>15.7</c:v>
                </c:pt>
                <c:pt idx="210">
                  <c:v>15.2</c:v>
                </c:pt>
                <c:pt idx="211">
                  <c:v>12.3</c:v>
                </c:pt>
                <c:pt idx="212">
                  <c:v>11.1</c:v>
                </c:pt>
                <c:pt idx="213">
                  <c:v>15.4</c:v>
                </c:pt>
                <c:pt idx="214">
                  <c:v>14.8</c:v>
                </c:pt>
                <c:pt idx="215">
                  <c:v>15.2</c:v>
                </c:pt>
                <c:pt idx="216">
                  <c:v>10.6</c:v>
                </c:pt>
                <c:pt idx="217">
                  <c:v>9.1999999999999993</c:v>
                </c:pt>
                <c:pt idx="218">
                  <c:v>16.600000000000001</c:v>
                </c:pt>
                <c:pt idx="219">
                  <c:v>16.8</c:v>
                </c:pt>
                <c:pt idx="220">
                  <c:v>15.9</c:v>
                </c:pt>
                <c:pt idx="221">
                  <c:v>16.399999999999999</c:v>
                </c:pt>
                <c:pt idx="222">
                  <c:v>13.6</c:v>
                </c:pt>
                <c:pt idx="223">
                  <c:v>10</c:v>
                </c:pt>
                <c:pt idx="224">
                  <c:v>5.4</c:v>
                </c:pt>
                <c:pt idx="225">
                  <c:v>17.5</c:v>
                </c:pt>
                <c:pt idx="226">
                  <c:v>17.600000000000001</c:v>
                </c:pt>
                <c:pt idx="227">
                  <c:v>16.600000000000001</c:v>
                </c:pt>
                <c:pt idx="228">
                  <c:v>17.8</c:v>
                </c:pt>
                <c:pt idx="229">
                  <c:v>18</c:v>
                </c:pt>
                <c:pt idx="230">
                  <c:v>18.100000000000001</c:v>
                </c:pt>
                <c:pt idx="231">
                  <c:v>18.3</c:v>
                </c:pt>
                <c:pt idx="232">
                  <c:v>14.6</c:v>
                </c:pt>
                <c:pt idx="233">
                  <c:v>15.7</c:v>
                </c:pt>
                <c:pt idx="234">
                  <c:v>17.100000000000001</c:v>
                </c:pt>
                <c:pt idx="235">
                  <c:v>18.8</c:v>
                </c:pt>
                <c:pt idx="236">
                  <c:v>18.899999999999999</c:v>
                </c:pt>
                <c:pt idx="237">
                  <c:v>15.4</c:v>
                </c:pt>
                <c:pt idx="238">
                  <c:v>17.8</c:v>
                </c:pt>
                <c:pt idx="239">
                  <c:v>15.4</c:v>
                </c:pt>
                <c:pt idx="240">
                  <c:v>15.6</c:v>
                </c:pt>
                <c:pt idx="241">
                  <c:v>8.5</c:v>
                </c:pt>
                <c:pt idx="242">
                  <c:v>15.9</c:v>
                </c:pt>
                <c:pt idx="243">
                  <c:v>15.9</c:v>
                </c:pt>
                <c:pt idx="244">
                  <c:v>8.5</c:v>
                </c:pt>
                <c:pt idx="245">
                  <c:v>10.1</c:v>
                </c:pt>
                <c:pt idx="246">
                  <c:v>16.100000000000001</c:v>
                </c:pt>
                <c:pt idx="247">
                  <c:v>13.9</c:v>
                </c:pt>
                <c:pt idx="248">
                  <c:v>17.100000000000001</c:v>
                </c:pt>
                <c:pt idx="249">
                  <c:v>13.5</c:v>
                </c:pt>
                <c:pt idx="250">
                  <c:v>15</c:v>
                </c:pt>
                <c:pt idx="251">
                  <c:v>12.3</c:v>
                </c:pt>
                <c:pt idx="252">
                  <c:v>19.8</c:v>
                </c:pt>
                <c:pt idx="253">
                  <c:v>19.899999999999999</c:v>
                </c:pt>
                <c:pt idx="254">
                  <c:v>13.1</c:v>
                </c:pt>
                <c:pt idx="255">
                  <c:v>21.6</c:v>
                </c:pt>
                <c:pt idx="256">
                  <c:v>19.899999999999999</c:v>
                </c:pt>
                <c:pt idx="257">
                  <c:v>14.1</c:v>
                </c:pt>
                <c:pt idx="258">
                  <c:v>7.9</c:v>
                </c:pt>
                <c:pt idx="259">
                  <c:v>18.7</c:v>
                </c:pt>
                <c:pt idx="260">
                  <c:v>22.4</c:v>
                </c:pt>
                <c:pt idx="261">
                  <c:v>22.5</c:v>
                </c:pt>
                <c:pt idx="262">
                  <c:v>22.7</c:v>
                </c:pt>
                <c:pt idx="263">
                  <c:v>10.5</c:v>
                </c:pt>
                <c:pt idx="264">
                  <c:v>10.7</c:v>
                </c:pt>
                <c:pt idx="265">
                  <c:v>19.3</c:v>
                </c:pt>
                <c:pt idx="266">
                  <c:v>22.8</c:v>
                </c:pt>
                <c:pt idx="267">
                  <c:v>23.6</c:v>
                </c:pt>
                <c:pt idx="268">
                  <c:v>22.6</c:v>
                </c:pt>
                <c:pt idx="269">
                  <c:v>12.8</c:v>
                </c:pt>
                <c:pt idx="270">
                  <c:v>14.8</c:v>
                </c:pt>
                <c:pt idx="271">
                  <c:v>13.8</c:v>
                </c:pt>
                <c:pt idx="272">
                  <c:v>23.6</c:v>
                </c:pt>
                <c:pt idx="273">
                  <c:v>14.7</c:v>
                </c:pt>
                <c:pt idx="274">
                  <c:v>10.1</c:v>
                </c:pt>
                <c:pt idx="275">
                  <c:v>21.8</c:v>
                </c:pt>
                <c:pt idx="276">
                  <c:v>17.100000000000001</c:v>
                </c:pt>
                <c:pt idx="277">
                  <c:v>19.600000000000001</c:v>
                </c:pt>
                <c:pt idx="278">
                  <c:v>9.6999999999999993</c:v>
                </c:pt>
                <c:pt idx="279">
                  <c:v>17.3</c:v>
                </c:pt>
                <c:pt idx="280">
                  <c:v>18.7</c:v>
                </c:pt>
                <c:pt idx="281">
                  <c:v>14.9</c:v>
                </c:pt>
                <c:pt idx="282">
                  <c:v>10.8</c:v>
                </c:pt>
                <c:pt idx="283">
                  <c:v>20.3</c:v>
                </c:pt>
                <c:pt idx="284">
                  <c:v>18.899999999999999</c:v>
                </c:pt>
                <c:pt idx="285">
                  <c:v>21.8</c:v>
                </c:pt>
                <c:pt idx="286">
                  <c:v>18.2</c:v>
                </c:pt>
                <c:pt idx="287">
                  <c:v>20.399999999999999</c:v>
                </c:pt>
                <c:pt idx="288">
                  <c:v>17.100000000000001</c:v>
                </c:pt>
                <c:pt idx="289">
                  <c:v>13.5</c:v>
                </c:pt>
                <c:pt idx="290">
                  <c:v>18.2</c:v>
                </c:pt>
                <c:pt idx="291">
                  <c:v>15.6</c:v>
                </c:pt>
                <c:pt idx="292">
                  <c:v>19.8</c:v>
                </c:pt>
                <c:pt idx="293">
                  <c:v>18.2</c:v>
                </c:pt>
                <c:pt idx="294">
                  <c:v>14</c:v>
                </c:pt>
                <c:pt idx="295">
                  <c:v>10.3</c:v>
                </c:pt>
                <c:pt idx="296">
                  <c:v>26.3</c:v>
                </c:pt>
                <c:pt idx="297">
                  <c:v>15.8</c:v>
                </c:pt>
                <c:pt idx="298">
                  <c:v>26.7</c:v>
                </c:pt>
                <c:pt idx="299">
                  <c:v>23.2</c:v>
                </c:pt>
                <c:pt idx="300">
                  <c:v>28.2</c:v>
                </c:pt>
                <c:pt idx="301">
                  <c:v>28.3</c:v>
                </c:pt>
                <c:pt idx="302">
                  <c:v>28.5</c:v>
                </c:pt>
                <c:pt idx="303">
                  <c:v>23</c:v>
                </c:pt>
                <c:pt idx="304">
                  <c:v>10.6</c:v>
                </c:pt>
                <c:pt idx="305">
                  <c:v>28.8</c:v>
                </c:pt>
                <c:pt idx="306">
                  <c:v>28.9</c:v>
                </c:pt>
                <c:pt idx="307">
                  <c:v>28.5</c:v>
                </c:pt>
                <c:pt idx="308">
                  <c:v>23.1</c:v>
                </c:pt>
                <c:pt idx="309">
                  <c:v>25.7</c:v>
                </c:pt>
                <c:pt idx="310">
                  <c:v>27.6</c:v>
                </c:pt>
                <c:pt idx="311">
                  <c:v>23.2</c:v>
                </c:pt>
                <c:pt idx="312">
                  <c:v>21.6</c:v>
                </c:pt>
                <c:pt idx="313">
                  <c:v>26.3</c:v>
                </c:pt>
                <c:pt idx="314">
                  <c:v>29.3</c:v>
                </c:pt>
                <c:pt idx="315">
                  <c:v>17.399999999999999</c:v>
                </c:pt>
                <c:pt idx="316">
                  <c:v>29.5</c:v>
                </c:pt>
                <c:pt idx="317">
                  <c:v>21.8</c:v>
                </c:pt>
                <c:pt idx="318">
                  <c:v>28.6</c:v>
                </c:pt>
                <c:pt idx="319">
                  <c:v>29.6</c:v>
                </c:pt>
                <c:pt idx="320">
                  <c:v>23.7</c:v>
                </c:pt>
                <c:pt idx="321">
                  <c:v>27.4</c:v>
                </c:pt>
                <c:pt idx="322">
                  <c:v>29.1</c:v>
                </c:pt>
                <c:pt idx="323">
                  <c:v>17.2</c:v>
                </c:pt>
                <c:pt idx="324">
                  <c:v>27</c:v>
                </c:pt>
                <c:pt idx="325">
                  <c:v>26</c:v>
                </c:pt>
                <c:pt idx="326">
                  <c:v>18.5</c:v>
                </c:pt>
                <c:pt idx="327">
                  <c:v>17.3</c:v>
                </c:pt>
                <c:pt idx="328">
                  <c:v>30.4</c:v>
                </c:pt>
                <c:pt idx="329">
                  <c:v>30.7</c:v>
                </c:pt>
                <c:pt idx="330">
                  <c:v>18.899999999999999</c:v>
                </c:pt>
                <c:pt idx="331">
                  <c:v>25.6</c:v>
                </c:pt>
                <c:pt idx="332">
                  <c:v>12.8</c:v>
                </c:pt>
                <c:pt idx="333">
                  <c:v>9</c:v>
                </c:pt>
                <c:pt idx="334">
                  <c:v>15.6</c:v>
                </c:pt>
                <c:pt idx="335">
                  <c:v>17.8</c:v>
                </c:pt>
                <c:pt idx="336">
                  <c:v>23.3</c:v>
                </c:pt>
                <c:pt idx="337">
                  <c:v>21.9</c:v>
                </c:pt>
                <c:pt idx="338">
                  <c:v>28.7</c:v>
                </c:pt>
                <c:pt idx="339">
                  <c:v>30.9</c:v>
                </c:pt>
                <c:pt idx="340">
                  <c:v>30.9</c:v>
                </c:pt>
                <c:pt idx="341">
                  <c:v>29</c:v>
                </c:pt>
                <c:pt idx="342">
                  <c:v>21.5</c:v>
                </c:pt>
                <c:pt idx="343">
                  <c:v>19.600000000000001</c:v>
                </c:pt>
                <c:pt idx="344">
                  <c:v>28.9</c:v>
                </c:pt>
                <c:pt idx="345">
                  <c:v>27.5</c:v>
                </c:pt>
                <c:pt idx="346">
                  <c:v>21.3</c:v>
                </c:pt>
                <c:pt idx="347">
                  <c:v>30.6</c:v>
                </c:pt>
                <c:pt idx="348">
                  <c:v>25.3</c:v>
                </c:pt>
                <c:pt idx="349">
                  <c:v>25.7</c:v>
                </c:pt>
                <c:pt idx="350">
                  <c:v>24.8</c:v>
                </c:pt>
                <c:pt idx="351">
                  <c:v>25</c:v>
                </c:pt>
                <c:pt idx="352">
                  <c:v>24.6</c:v>
                </c:pt>
                <c:pt idx="353">
                  <c:v>27.1</c:v>
                </c:pt>
                <c:pt idx="354">
                  <c:v>23.6</c:v>
                </c:pt>
                <c:pt idx="355">
                  <c:v>40</c:v>
                </c:pt>
                <c:pt idx="356">
                  <c:v>27.2</c:v>
                </c:pt>
                <c:pt idx="357">
                  <c:v>16</c:v>
                </c:pt>
                <c:pt idx="358">
                  <c:v>16.8</c:v>
                </c:pt>
                <c:pt idx="359">
                  <c:v>26.8</c:v>
                </c:pt>
                <c:pt idx="360">
                  <c:v>22.3</c:v>
                </c:pt>
                <c:pt idx="361">
                  <c:v>22.1</c:v>
                </c:pt>
                <c:pt idx="362">
                  <c:v>15.9</c:v>
                </c:pt>
                <c:pt idx="363">
                  <c:v>17.100000000000001</c:v>
                </c:pt>
                <c:pt idx="364">
                  <c:v>22.9</c:v>
                </c:pt>
              </c:numCache>
            </c:numRef>
          </c:xVal>
          <c:yVal>
            <c:numRef>
              <c:f>Weather_data!$AI$2:$AI$366</c:f>
              <c:numCache>
                <c:formatCode>General</c:formatCode>
                <c:ptCount val="365"/>
                <c:pt idx="0">
                  <c:v>310</c:v>
                </c:pt>
                <c:pt idx="1">
                  <c:v>724</c:v>
                </c:pt>
                <c:pt idx="2">
                  <c:v>600</c:v>
                </c:pt>
                <c:pt idx="3">
                  <c:v>399</c:v>
                </c:pt>
                <c:pt idx="4">
                  <c:v>462</c:v>
                </c:pt>
                <c:pt idx="5">
                  <c:v>310</c:v>
                </c:pt>
                <c:pt idx="6">
                  <c:v>252</c:v>
                </c:pt>
                <c:pt idx="7">
                  <c:v>268</c:v>
                </c:pt>
                <c:pt idx="8">
                  <c:v>640</c:v>
                </c:pt>
                <c:pt idx="9">
                  <c:v>480</c:v>
                </c:pt>
                <c:pt idx="10">
                  <c:v>496</c:v>
                </c:pt>
                <c:pt idx="11">
                  <c:v>558</c:v>
                </c:pt>
                <c:pt idx="12">
                  <c:v>582</c:v>
                </c:pt>
                <c:pt idx="13">
                  <c:v>641</c:v>
                </c:pt>
                <c:pt idx="14">
                  <c:v>552</c:v>
                </c:pt>
                <c:pt idx="15">
                  <c:v>483</c:v>
                </c:pt>
                <c:pt idx="16">
                  <c:v>348</c:v>
                </c:pt>
                <c:pt idx="17">
                  <c:v>486</c:v>
                </c:pt>
                <c:pt idx="18">
                  <c:v>388</c:v>
                </c:pt>
                <c:pt idx="19">
                  <c:v>200</c:v>
                </c:pt>
                <c:pt idx="20">
                  <c:v>697</c:v>
                </c:pt>
                <c:pt idx="21">
                  <c:v>691</c:v>
                </c:pt>
                <c:pt idx="22">
                  <c:v>854</c:v>
                </c:pt>
                <c:pt idx="23">
                  <c:v>610</c:v>
                </c:pt>
                <c:pt idx="24">
                  <c:v>572</c:v>
                </c:pt>
                <c:pt idx="25">
                  <c:v>485</c:v>
                </c:pt>
                <c:pt idx="26">
                  <c:v>573</c:v>
                </c:pt>
                <c:pt idx="27">
                  <c:v>407</c:v>
                </c:pt>
                <c:pt idx="28">
                  <c:v>482</c:v>
                </c:pt>
                <c:pt idx="29">
                  <c:v>689</c:v>
                </c:pt>
                <c:pt idx="30">
                  <c:v>538</c:v>
                </c:pt>
                <c:pt idx="31">
                  <c:v>429</c:v>
                </c:pt>
                <c:pt idx="32">
                  <c:v>372</c:v>
                </c:pt>
                <c:pt idx="33">
                  <c:v>202</c:v>
                </c:pt>
                <c:pt idx="34">
                  <c:v>747</c:v>
                </c:pt>
                <c:pt idx="35">
                  <c:v>779</c:v>
                </c:pt>
                <c:pt idx="36">
                  <c:v>792</c:v>
                </c:pt>
                <c:pt idx="37">
                  <c:v>576</c:v>
                </c:pt>
                <c:pt idx="38">
                  <c:v>871</c:v>
                </c:pt>
                <c:pt idx="39">
                  <c:v>801</c:v>
                </c:pt>
                <c:pt idx="40">
                  <c:v>771</c:v>
                </c:pt>
                <c:pt idx="41">
                  <c:v>856</c:v>
                </c:pt>
                <c:pt idx="42">
                  <c:v>583</c:v>
                </c:pt>
                <c:pt idx="43">
                  <c:v>664</c:v>
                </c:pt>
                <c:pt idx="44">
                  <c:v>547</c:v>
                </c:pt>
                <c:pt idx="45">
                  <c:v>716</c:v>
                </c:pt>
                <c:pt idx="46">
                  <c:v>711</c:v>
                </c:pt>
                <c:pt idx="47">
                  <c:v>765</c:v>
                </c:pt>
                <c:pt idx="48">
                  <c:v>656</c:v>
                </c:pt>
                <c:pt idx="49">
                  <c:v>530</c:v>
                </c:pt>
                <c:pt idx="50">
                  <c:v>651</c:v>
                </c:pt>
                <c:pt idx="51">
                  <c:v>589</c:v>
                </c:pt>
                <c:pt idx="52">
                  <c:v>640</c:v>
                </c:pt>
                <c:pt idx="53">
                  <c:v>278</c:v>
                </c:pt>
                <c:pt idx="54">
                  <c:v>223</c:v>
                </c:pt>
                <c:pt idx="55">
                  <c:v>44</c:v>
                </c:pt>
                <c:pt idx="56">
                  <c:v>36</c:v>
                </c:pt>
                <c:pt idx="57">
                  <c:v>42</c:v>
                </c:pt>
                <c:pt idx="58">
                  <c:v>582</c:v>
                </c:pt>
                <c:pt idx="59">
                  <c:v>478</c:v>
                </c:pt>
                <c:pt idx="60">
                  <c:v>353</c:v>
                </c:pt>
                <c:pt idx="61">
                  <c:v>223</c:v>
                </c:pt>
                <c:pt idx="62">
                  <c:v>329</c:v>
                </c:pt>
                <c:pt idx="63">
                  <c:v>394</c:v>
                </c:pt>
                <c:pt idx="64">
                  <c:v>367</c:v>
                </c:pt>
                <c:pt idx="65">
                  <c:v>447</c:v>
                </c:pt>
                <c:pt idx="66">
                  <c:v>380</c:v>
                </c:pt>
                <c:pt idx="67">
                  <c:v>336</c:v>
                </c:pt>
                <c:pt idx="68">
                  <c:v>580</c:v>
                </c:pt>
                <c:pt idx="69">
                  <c:v>696</c:v>
                </c:pt>
                <c:pt idx="70">
                  <c:v>524</c:v>
                </c:pt>
                <c:pt idx="71">
                  <c:v>595</c:v>
                </c:pt>
                <c:pt idx="72">
                  <c:v>556</c:v>
                </c:pt>
                <c:pt idx="73">
                  <c:v>670</c:v>
                </c:pt>
                <c:pt idx="74">
                  <c:v>671</c:v>
                </c:pt>
                <c:pt idx="75">
                  <c:v>657</c:v>
                </c:pt>
                <c:pt idx="76">
                  <c:v>718</c:v>
                </c:pt>
                <c:pt idx="77">
                  <c:v>601</c:v>
                </c:pt>
                <c:pt idx="78">
                  <c:v>600</c:v>
                </c:pt>
                <c:pt idx="79">
                  <c:v>508</c:v>
                </c:pt>
                <c:pt idx="80">
                  <c:v>713</c:v>
                </c:pt>
                <c:pt idx="81">
                  <c:v>664</c:v>
                </c:pt>
                <c:pt idx="82">
                  <c:v>633</c:v>
                </c:pt>
                <c:pt idx="83">
                  <c:v>591</c:v>
                </c:pt>
                <c:pt idx="84">
                  <c:v>615</c:v>
                </c:pt>
                <c:pt idx="85">
                  <c:v>570</c:v>
                </c:pt>
                <c:pt idx="86">
                  <c:v>110</c:v>
                </c:pt>
                <c:pt idx="87">
                  <c:v>253</c:v>
                </c:pt>
                <c:pt idx="88">
                  <c:v>367</c:v>
                </c:pt>
                <c:pt idx="89">
                  <c:v>606</c:v>
                </c:pt>
                <c:pt idx="90">
                  <c:v>697</c:v>
                </c:pt>
                <c:pt idx="91">
                  <c:v>586</c:v>
                </c:pt>
                <c:pt idx="92">
                  <c:v>590</c:v>
                </c:pt>
                <c:pt idx="93">
                  <c:v>429</c:v>
                </c:pt>
                <c:pt idx="94">
                  <c:v>628</c:v>
                </c:pt>
                <c:pt idx="95">
                  <c:v>608</c:v>
                </c:pt>
                <c:pt idx="96">
                  <c:v>466</c:v>
                </c:pt>
                <c:pt idx="97">
                  <c:v>537</c:v>
                </c:pt>
                <c:pt idx="98">
                  <c:v>427</c:v>
                </c:pt>
                <c:pt idx="99">
                  <c:v>629</c:v>
                </c:pt>
                <c:pt idx="100">
                  <c:v>400</c:v>
                </c:pt>
                <c:pt idx="101">
                  <c:v>622</c:v>
                </c:pt>
                <c:pt idx="102">
                  <c:v>524</c:v>
                </c:pt>
                <c:pt idx="103">
                  <c:v>524</c:v>
                </c:pt>
                <c:pt idx="104">
                  <c:v>699</c:v>
                </c:pt>
                <c:pt idx="105">
                  <c:v>538</c:v>
                </c:pt>
                <c:pt idx="106">
                  <c:v>551</c:v>
                </c:pt>
                <c:pt idx="107">
                  <c:v>773</c:v>
                </c:pt>
                <c:pt idx="108">
                  <c:v>662</c:v>
                </c:pt>
                <c:pt idx="109">
                  <c:v>652</c:v>
                </c:pt>
                <c:pt idx="110">
                  <c:v>822</c:v>
                </c:pt>
                <c:pt idx="111">
                  <c:v>793</c:v>
                </c:pt>
                <c:pt idx="112">
                  <c:v>538</c:v>
                </c:pt>
                <c:pt idx="113">
                  <c:v>502</c:v>
                </c:pt>
                <c:pt idx="114">
                  <c:v>270</c:v>
                </c:pt>
                <c:pt idx="115">
                  <c:v>477</c:v>
                </c:pt>
                <c:pt idx="116">
                  <c:v>793</c:v>
                </c:pt>
                <c:pt idx="117">
                  <c:v>662</c:v>
                </c:pt>
                <c:pt idx="118">
                  <c:v>694</c:v>
                </c:pt>
                <c:pt idx="119">
                  <c:v>476</c:v>
                </c:pt>
                <c:pt idx="120">
                  <c:v>593</c:v>
                </c:pt>
                <c:pt idx="121">
                  <c:v>797</c:v>
                </c:pt>
                <c:pt idx="122">
                  <c:v>703</c:v>
                </c:pt>
                <c:pt idx="123">
                  <c:v>670</c:v>
                </c:pt>
                <c:pt idx="124">
                  <c:v>727</c:v>
                </c:pt>
                <c:pt idx="125">
                  <c:v>263</c:v>
                </c:pt>
                <c:pt idx="126">
                  <c:v>668</c:v>
                </c:pt>
                <c:pt idx="127">
                  <c:v>556</c:v>
                </c:pt>
                <c:pt idx="128">
                  <c:v>211</c:v>
                </c:pt>
                <c:pt idx="129">
                  <c:v>438</c:v>
                </c:pt>
                <c:pt idx="130">
                  <c:v>92</c:v>
                </c:pt>
                <c:pt idx="131">
                  <c:v>215</c:v>
                </c:pt>
                <c:pt idx="132">
                  <c:v>112</c:v>
                </c:pt>
                <c:pt idx="133">
                  <c:v>151</c:v>
                </c:pt>
                <c:pt idx="134">
                  <c:v>468</c:v>
                </c:pt>
                <c:pt idx="135">
                  <c:v>479</c:v>
                </c:pt>
                <c:pt idx="136">
                  <c:v>562</c:v>
                </c:pt>
                <c:pt idx="137">
                  <c:v>683</c:v>
                </c:pt>
                <c:pt idx="138">
                  <c:v>746</c:v>
                </c:pt>
                <c:pt idx="139">
                  <c:v>739</c:v>
                </c:pt>
                <c:pt idx="140">
                  <c:v>90</c:v>
                </c:pt>
                <c:pt idx="141">
                  <c:v>284</c:v>
                </c:pt>
                <c:pt idx="142">
                  <c:v>333</c:v>
                </c:pt>
                <c:pt idx="143">
                  <c:v>492</c:v>
                </c:pt>
                <c:pt idx="144">
                  <c:v>706</c:v>
                </c:pt>
                <c:pt idx="145">
                  <c:v>769</c:v>
                </c:pt>
                <c:pt idx="146">
                  <c:v>843</c:v>
                </c:pt>
                <c:pt idx="147">
                  <c:v>750</c:v>
                </c:pt>
                <c:pt idx="148">
                  <c:v>1198</c:v>
                </c:pt>
                <c:pt idx="149">
                  <c:v>491</c:v>
                </c:pt>
                <c:pt idx="150">
                  <c:v>495</c:v>
                </c:pt>
                <c:pt idx="151">
                  <c:v>664</c:v>
                </c:pt>
                <c:pt idx="152">
                  <c:v>779</c:v>
                </c:pt>
                <c:pt idx="153">
                  <c:v>651</c:v>
                </c:pt>
                <c:pt idx="154">
                  <c:v>543</c:v>
                </c:pt>
                <c:pt idx="155">
                  <c:v>849</c:v>
                </c:pt>
                <c:pt idx="156">
                  <c:v>333</c:v>
                </c:pt>
                <c:pt idx="157">
                  <c:v>637</c:v>
                </c:pt>
                <c:pt idx="158">
                  <c:v>635</c:v>
                </c:pt>
                <c:pt idx="159">
                  <c:v>610</c:v>
                </c:pt>
                <c:pt idx="160">
                  <c:v>578</c:v>
                </c:pt>
                <c:pt idx="161">
                  <c:v>584</c:v>
                </c:pt>
                <c:pt idx="162">
                  <c:v>605</c:v>
                </c:pt>
                <c:pt idx="163">
                  <c:v>523</c:v>
                </c:pt>
                <c:pt idx="164">
                  <c:v>589</c:v>
                </c:pt>
                <c:pt idx="165">
                  <c:v>613</c:v>
                </c:pt>
                <c:pt idx="166">
                  <c:v>655</c:v>
                </c:pt>
                <c:pt idx="167">
                  <c:v>686</c:v>
                </c:pt>
                <c:pt idx="168">
                  <c:v>648</c:v>
                </c:pt>
                <c:pt idx="169">
                  <c:v>712</c:v>
                </c:pt>
                <c:pt idx="170">
                  <c:v>496</c:v>
                </c:pt>
                <c:pt idx="171">
                  <c:v>655</c:v>
                </c:pt>
                <c:pt idx="172">
                  <c:v>677</c:v>
                </c:pt>
                <c:pt idx="173">
                  <c:v>685</c:v>
                </c:pt>
                <c:pt idx="174">
                  <c:v>618</c:v>
                </c:pt>
                <c:pt idx="175">
                  <c:v>708</c:v>
                </c:pt>
                <c:pt idx="176">
                  <c:v>712</c:v>
                </c:pt>
                <c:pt idx="177">
                  <c:v>437</c:v>
                </c:pt>
                <c:pt idx="178">
                  <c:v>623</c:v>
                </c:pt>
                <c:pt idx="179">
                  <c:v>566</c:v>
                </c:pt>
                <c:pt idx="180">
                  <c:v>529</c:v>
                </c:pt>
                <c:pt idx="181">
                  <c:v>164</c:v>
                </c:pt>
                <c:pt idx="182">
                  <c:v>186</c:v>
                </c:pt>
                <c:pt idx="183">
                  <c:v>711</c:v>
                </c:pt>
                <c:pt idx="184">
                  <c:v>257</c:v>
                </c:pt>
                <c:pt idx="185">
                  <c:v>93</c:v>
                </c:pt>
                <c:pt idx="186">
                  <c:v>318</c:v>
                </c:pt>
                <c:pt idx="187">
                  <c:v>542</c:v>
                </c:pt>
                <c:pt idx="188">
                  <c:v>654</c:v>
                </c:pt>
                <c:pt idx="189">
                  <c:v>664</c:v>
                </c:pt>
                <c:pt idx="190">
                  <c:v>708</c:v>
                </c:pt>
                <c:pt idx="191">
                  <c:v>445</c:v>
                </c:pt>
                <c:pt idx="192">
                  <c:v>509</c:v>
                </c:pt>
                <c:pt idx="193">
                  <c:v>510</c:v>
                </c:pt>
                <c:pt idx="194">
                  <c:v>571</c:v>
                </c:pt>
                <c:pt idx="195">
                  <c:v>651</c:v>
                </c:pt>
                <c:pt idx="196">
                  <c:v>691</c:v>
                </c:pt>
                <c:pt idx="197">
                  <c:v>727</c:v>
                </c:pt>
                <c:pt idx="198">
                  <c:v>525</c:v>
                </c:pt>
                <c:pt idx="199">
                  <c:v>612</c:v>
                </c:pt>
                <c:pt idx="200">
                  <c:v>550</c:v>
                </c:pt>
                <c:pt idx="201">
                  <c:v>316</c:v>
                </c:pt>
                <c:pt idx="202">
                  <c:v>137</c:v>
                </c:pt>
                <c:pt idx="203">
                  <c:v>755</c:v>
                </c:pt>
                <c:pt idx="204">
                  <c:v>938</c:v>
                </c:pt>
                <c:pt idx="205">
                  <c:v>543</c:v>
                </c:pt>
                <c:pt idx="206">
                  <c:v>605</c:v>
                </c:pt>
                <c:pt idx="207">
                  <c:v>642</c:v>
                </c:pt>
                <c:pt idx="208">
                  <c:v>636</c:v>
                </c:pt>
                <c:pt idx="209">
                  <c:v>622</c:v>
                </c:pt>
                <c:pt idx="210">
                  <c:v>677</c:v>
                </c:pt>
                <c:pt idx="211">
                  <c:v>593</c:v>
                </c:pt>
                <c:pt idx="212">
                  <c:v>448</c:v>
                </c:pt>
                <c:pt idx="213">
                  <c:v>722</c:v>
                </c:pt>
                <c:pt idx="214">
                  <c:v>690</c:v>
                </c:pt>
                <c:pt idx="215">
                  <c:v>760</c:v>
                </c:pt>
                <c:pt idx="216">
                  <c:v>693</c:v>
                </c:pt>
                <c:pt idx="217">
                  <c:v>411</c:v>
                </c:pt>
                <c:pt idx="218">
                  <c:v>779</c:v>
                </c:pt>
                <c:pt idx="219">
                  <c:v>603</c:v>
                </c:pt>
                <c:pt idx="220">
                  <c:v>626</c:v>
                </c:pt>
                <c:pt idx="221">
                  <c:v>804</c:v>
                </c:pt>
                <c:pt idx="222">
                  <c:v>606</c:v>
                </c:pt>
                <c:pt idx="223">
                  <c:v>747</c:v>
                </c:pt>
                <c:pt idx="224">
                  <c:v>329</c:v>
                </c:pt>
                <c:pt idx="225">
                  <c:v>825</c:v>
                </c:pt>
                <c:pt idx="226">
                  <c:v>574</c:v>
                </c:pt>
                <c:pt idx="227">
                  <c:v>711</c:v>
                </c:pt>
                <c:pt idx="228">
                  <c:v>743</c:v>
                </c:pt>
                <c:pt idx="229">
                  <c:v>711</c:v>
                </c:pt>
                <c:pt idx="230">
                  <c:v>728</c:v>
                </c:pt>
                <c:pt idx="231">
                  <c:v>698</c:v>
                </c:pt>
                <c:pt idx="232">
                  <c:v>784</c:v>
                </c:pt>
                <c:pt idx="233">
                  <c:v>549</c:v>
                </c:pt>
                <c:pt idx="234">
                  <c:v>736</c:v>
                </c:pt>
                <c:pt idx="235">
                  <c:v>564</c:v>
                </c:pt>
                <c:pt idx="236">
                  <c:v>713</c:v>
                </c:pt>
                <c:pt idx="237">
                  <c:v>769</c:v>
                </c:pt>
                <c:pt idx="238">
                  <c:v>671</c:v>
                </c:pt>
                <c:pt idx="239">
                  <c:v>397</c:v>
                </c:pt>
                <c:pt idx="240">
                  <c:v>497</c:v>
                </c:pt>
                <c:pt idx="241">
                  <c:v>556</c:v>
                </c:pt>
                <c:pt idx="242">
                  <c:v>427</c:v>
                </c:pt>
                <c:pt idx="243">
                  <c:v>776</c:v>
                </c:pt>
                <c:pt idx="244">
                  <c:v>543</c:v>
                </c:pt>
                <c:pt idx="245">
                  <c:v>280</c:v>
                </c:pt>
                <c:pt idx="246">
                  <c:v>766</c:v>
                </c:pt>
                <c:pt idx="247">
                  <c:v>508</c:v>
                </c:pt>
                <c:pt idx="248">
                  <c:v>744</c:v>
                </c:pt>
                <c:pt idx="249">
                  <c:v>691</c:v>
                </c:pt>
                <c:pt idx="250">
                  <c:v>704</c:v>
                </c:pt>
                <c:pt idx="251">
                  <c:v>310</c:v>
                </c:pt>
                <c:pt idx="252">
                  <c:v>652</c:v>
                </c:pt>
                <c:pt idx="253">
                  <c:v>712</c:v>
                </c:pt>
                <c:pt idx="254">
                  <c:v>549</c:v>
                </c:pt>
                <c:pt idx="255">
                  <c:v>718</c:v>
                </c:pt>
                <c:pt idx="256">
                  <c:v>692</c:v>
                </c:pt>
                <c:pt idx="257">
                  <c:v>612</c:v>
                </c:pt>
                <c:pt idx="258">
                  <c:v>314</c:v>
                </c:pt>
                <c:pt idx="259">
                  <c:v>505</c:v>
                </c:pt>
                <c:pt idx="260">
                  <c:v>743</c:v>
                </c:pt>
                <c:pt idx="261">
                  <c:v>433</c:v>
                </c:pt>
                <c:pt idx="262">
                  <c:v>598</c:v>
                </c:pt>
                <c:pt idx="263">
                  <c:v>510</c:v>
                </c:pt>
                <c:pt idx="264">
                  <c:v>269</c:v>
                </c:pt>
                <c:pt idx="265">
                  <c:v>520</c:v>
                </c:pt>
                <c:pt idx="266">
                  <c:v>668</c:v>
                </c:pt>
                <c:pt idx="267">
                  <c:v>708</c:v>
                </c:pt>
                <c:pt idx="268">
                  <c:v>494</c:v>
                </c:pt>
                <c:pt idx="269">
                  <c:v>578</c:v>
                </c:pt>
                <c:pt idx="270">
                  <c:v>467</c:v>
                </c:pt>
                <c:pt idx="271">
                  <c:v>753</c:v>
                </c:pt>
                <c:pt idx="272">
                  <c:v>716</c:v>
                </c:pt>
                <c:pt idx="273">
                  <c:v>643</c:v>
                </c:pt>
                <c:pt idx="274">
                  <c:v>333</c:v>
                </c:pt>
                <c:pt idx="275">
                  <c:v>875</c:v>
                </c:pt>
                <c:pt idx="276">
                  <c:v>718</c:v>
                </c:pt>
                <c:pt idx="277">
                  <c:v>788</c:v>
                </c:pt>
                <c:pt idx="278">
                  <c:v>608</c:v>
                </c:pt>
                <c:pt idx="279">
                  <c:v>825</c:v>
                </c:pt>
                <c:pt idx="280">
                  <c:v>837</c:v>
                </c:pt>
                <c:pt idx="281">
                  <c:v>465</c:v>
                </c:pt>
                <c:pt idx="282">
                  <c:v>606</c:v>
                </c:pt>
                <c:pt idx="283">
                  <c:v>795</c:v>
                </c:pt>
                <c:pt idx="284">
                  <c:v>750</c:v>
                </c:pt>
                <c:pt idx="285">
                  <c:v>903</c:v>
                </c:pt>
                <c:pt idx="286">
                  <c:v>633</c:v>
                </c:pt>
                <c:pt idx="287">
                  <c:v>691</c:v>
                </c:pt>
                <c:pt idx="288">
                  <c:v>689</c:v>
                </c:pt>
                <c:pt idx="289">
                  <c:v>593</c:v>
                </c:pt>
                <c:pt idx="290">
                  <c:v>787</c:v>
                </c:pt>
                <c:pt idx="291">
                  <c:v>470</c:v>
                </c:pt>
                <c:pt idx="292">
                  <c:v>414</c:v>
                </c:pt>
                <c:pt idx="293">
                  <c:v>322</c:v>
                </c:pt>
                <c:pt idx="294">
                  <c:v>197</c:v>
                </c:pt>
                <c:pt idx="295">
                  <c:v>152</c:v>
                </c:pt>
                <c:pt idx="296">
                  <c:v>563</c:v>
                </c:pt>
                <c:pt idx="297">
                  <c:v>387</c:v>
                </c:pt>
                <c:pt idx="298">
                  <c:v>647</c:v>
                </c:pt>
                <c:pt idx="299">
                  <c:v>593</c:v>
                </c:pt>
                <c:pt idx="300">
                  <c:v>508</c:v>
                </c:pt>
                <c:pt idx="301">
                  <c:v>517</c:v>
                </c:pt>
                <c:pt idx="302">
                  <c:v>485</c:v>
                </c:pt>
                <c:pt idx="303">
                  <c:v>544</c:v>
                </c:pt>
                <c:pt idx="304">
                  <c:v>314</c:v>
                </c:pt>
                <c:pt idx="305">
                  <c:v>786</c:v>
                </c:pt>
                <c:pt idx="306">
                  <c:v>808</c:v>
                </c:pt>
                <c:pt idx="307">
                  <c:v>880</c:v>
                </c:pt>
                <c:pt idx="308">
                  <c:v>744</c:v>
                </c:pt>
                <c:pt idx="309">
                  <c:v>737</c:v>
                </c:pt>
                <c:pt idx="310">
                  <c:v>593</c:v>
                </c:pt>
                <c:pt idx="311">
                  <c:v>790</c:v>
                </c:pt>
                <c:pt idx="312">
                  <c:v>790</c:v>
                </c:pt>
                <c:pt idx="313">
                  <c:v>713</c:v>
                </c:pt>
                <c:pt idx="314">
                  <c:v>847</c:v>
                </c:pt>
                <c:pt idx="315">
                  <c:v>704</c:v>
                </c:pt>
                <c:pt idx="316">
                  <c:v>662</c:v>
                </c:pt>
                <c:pt idx="317">
                  <c:v>501</c:v>
                </c:pt>
                <c:pt idx="318">
                  <c:v>530</c:v>
                </c:pt>
                <c:pt idx="319">
                  <c:v>665</c:v>
                </c:pt>
                <c:pt idx="320">
                  <c:v>745</c:v>
                </c:pt>
                <c:pt idx="321">
                  <c:v>755</c:v>
                </c:pt>
                <c:pt idx="322">
                  <c:v>637</c:v>
                </c:pt>
                <c:pt idx="323">
                  <c:v>351</c:v>
                </c:pt>
                <c:pt idx="324">
                  <c:v>286</c:v>
                </c:pt>
                <c:pt idx="325">
                  <c:v>592</c:v>
                </c:pt>
                <c:pt idx="326">
                  <c:v>667</c:v>
                </c:pt>
                <c:pt idx="327">
                  <c:v>588</c:v>
                </c:pt>
                <c:pt idx="328">
                  <c:v>659</c:v>
                </c:pt>
                <c:pt idx="329">
                  <c:v>527</c:v>
                </c:pt>
                <c:pt idx="330">
                  <c:v>467</c:v>
                </c:pt>
                <c:pt idx="331">
                  <c:v>326</c:v>
                </c:pt>
                <c:pt idx="332">
                  <c:v>487</c:v>
                </c:pt>
                <c:pt idx="333">
                  <c:v>329</c:v>
                </c:pt>
                <c:pt idx="334">
                  <c:v>70</c:v>
                </c:pt>
                <c:pt idx="335">
                  <c:v>475</c:v>
                </c:pt>
                <c:pt idx="336">
                  <c:v>566</c:v>
                </c:pt>
                <c:pt idx="337">
                  <c:v>605</c:v>
                </c:pt>
                <c:pt idx="338">
                  <c:v>446</c:v>
                </c:pt>
                <c:pt idx="339">
                  <c:v>422</c:v>
                </c:pt>
                <c:pt idx="340">
                  <c:v>488</c:v>
                </c:pt>
                <c:pt idx="341">
                  <c:v>215</c:v>
                </c:pt>
                <c:pt idx="342">
                  <c:v>708</c:v>
                </c:pt>
                <c:pt idx="343">
                  <c:v>573</c:v>
                </c:pt>
                <c:pt idx="344">
                  <c:v>568</c:v>
                </c:pt>
                <c:pt idx="345">
                  <c:v>410</c:v>
                </c:pt>
                <c:pt idx="346">
                  <c:v>555</c:v>
                </c:pt>
                <c:pt idx="347">
                  <c:v>489</c:v>
                </c:pt>
                <c:pt idx="348">
                  <c:v>545</c:v>
                </c:pt>
                <c:pt idx="349">
                  <c:v>645</c:v>
                </c:pt>
                <c:pt idx="350">
                  <c:v>655</c:v>
                </c:pt>
                <c:pt idx="351">
                  <c:v>901</c:v>
                </c:pt>
                <c:pt idx="352">
                  <c:v>485</c:v>
                </c:pt>
                <c:pt idx="353">
                  <c:v>677</c:v>
                </c:pt>
                <c:pt idx="354">
                  <c:v>654</c:v>
                </c:pt>
                <c:pt idx="355">
                  <c:v>696</c:v>
                </c:pt>
                <c:pt idx="356">
                  <c:v>625</c:v>
                </c:pt>
                <c:pt idx="357">
                  <c:v>536</c:v>
                </c:pt>
                <c:pt idx="358">
                  <c:v>314</c:v>
                </c:pt>
                <c:pt idx="359">
                  <c:v>510</c:v>
                </c:pt>
                <c:pt idx="360">
                  <c:v>501</c:v>
                </c:pt>
                <c:pt idx="361">
                  <c:v>588</c:v>
                </c:pt>
                <c:pt idx="362">
                  <c:v>515</c:v>
                </c:pt>
                <c:pt idx="363">
                  <c:v>387</c:v>
                </c:pt>
                <c:pt idx="36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32-4128-92A6-1AA37F62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113136"/>
        <c:axId val="772116016"/>
      </c:scatterChart>
      <c:valAx>
        <c:axId val="77211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Exposure</a:t>
                </a:r>
                <a:r>
                  <a:rPr lang="en-AU" sz="2000" baseline="0"/>
                  <a:t> Rate(MJ/m*m)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116016"/>
        <c:crosses val="autoZero"/>
        <c:crossBetween val="midCat"/>
      </c:valAx>
      <c:valAx>
        <c:axId val="77211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Number of Pedestrians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11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000"/>
              <a:t>4.1B.3). Rainfall vs Pedestrian 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</a:t>
            </a:r>
            <a:r>
              <a:rPr lang="en-AU" sz="3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JackPesch Bridge)</a:t>
            </a:r>
            <a:endParaRPr lang="en-AU" sz="3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Weather_data!$AL$2:$AL$366</c:f>
              <c:numCache>
                <c:formatCode>General</c:formatCode>
                <c:ptCount val="365"/>
                <c:pt idx="0">
                  <c:v>5.6</c:v>
                </c:pt>
                <c:pt idx="1">
                  <c:v>5.6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3.8</c:v>
                </c:pt>
                <c:pt idx="6">
                  <c:v>0</c:v>
                </c:pt>
                <c:pt idx="7">
                  <c:v>9.4</c:v>
                </c:pt>
                <c:pt idx="8">
                  <c:v>0.6</c:v>
                </c:pt>
                <c:pt idx="9">
                  <c:v>0</c:v>
                </c:pt>
                <c:pt idx="10">
                  <c:v>0.2</c:v>
                </c:pt>
                <c:pt idx="11">
                  <c:v>0</c:v>
                </c:pt>
                <c:pt idx="12">
                  <c:v>0.2</c:v>
                </c:pt>
                <c:pt idx="13">
                  <c:v>0</c:v>
                </c:pt>
                <c:pt idx="14">
                  <c:v>0</c:v>
                </c:pt>
                <c:pt idx="15">
                  <c:v>4.2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10.8</c:v>
                </c:pt>
                <c:pt idx="20">
                  <c:v>19.2</c:v>
                </c:pt>
                <c:pt idx="21">
                  <c:v>1.6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15.2</c:v>
                </c:pt>
                <c:pt idx="27">
                  <c:v>3</c:v>
                </c:pt>
                <c:pt idx="28">
                  <c:v>0.4</c:v>
                </c:pt>
                <c:pt idx="29">
                  <c:v>0.2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27.2</c:v>
                </c:pt>
                <c:pt idx="34">
                  <c:v>20.6</c:v>
                </c:pt>
                <c:pt idx="35">
                  <c:v>0</c:v>
                </c:pt>
                <c:pt idx="36">
                  <c:v>0</c:v>
                </c:pt>
                <c:pt idx="37">
                  <c:v>0.8</c:v>
                </c:pt>
                <c:pt idx="38">
                  <c:v>10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7.2</c:v>
                </c:pt>
                <c:pt idx="44">
                  <c:v>0.6</c:v>
                </c:pt>
                <c:pt idx="45">
                  <c:v>5.6</c:v>
                </c:pt>
                <c:pt idx="46">
                  <c:v>0.2</c:v>
                </c:pt>
                <c:pt idx="47">
                  <c:v>0</c:v>
                </c:pt>
                <c:pt idx="48">
                  <c:v>0</c:v>
                </c:pt>
                <c:pt idx="49">
                  <c:v>19.2</c:v>
                </c:pt>
                <c:pt idx="50">
                  <c:v>10.4</c:v>
                </c:pt>
                <c:pt idx="51">
                  <c:v>0.2</c:v>
                </c:pt>
                <c:pt idx="52">
                  <c:v>2.2000000000000002</c:v>
                </c:pt>
                <c:pt idx="53">
                  <c:v>38.6</c:v>
                </c:pt>
                <c:pt idx="54">
                  <c:v>13.4</c:v>
                </c:pt>
                <c:pt idx="55">
                  <c:v>64</c:v>
                </c:pt>
                <c:pt idx="56">
                  <c:v>112.8</c:v>
                </c:pt>
                <c:pt idx="57">
                  <c:v>114.2</c:v>
                </c:pt>
                <c:pt idx="58">
                  <c:v>111.4</c:v>
                </c:pt>
                <c:pt idx="59">
                  <c:v>5.6</c:v>
                </c:pt>
                <c:pt idx="60">
                  <c:v>0.2</c:v>
                </c:pt>
                <c:pt idx="61">
                  <c:v>56</c:v>
                </c:pt>
                <c:pt idx="62">
                  <c:v>0.6</c:v>
                </c:pt>
                <c:pt idx="63">
                  <c:v>0</c:v>
                </c:pt>
                <c:pt idx="64">
                  <c:v>0</c:v>
                </c:pt>
                <c:pt idx="65">
                  <c:v>23.4</c:v>
                </c:pt>
                <c:pt idx="66">
                  <c:v>0.2</c:v>
                </c:pt>
                <c:pt idx="67">
                  <c:v>0.6</c:v>
                </c:pt>
                <c:pt idx="68">
                  <c:v>0.2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56.2</c:v>
                </c:pt>
                <c:pt idx="85">
                  <c:v>6.2</c:v>
                </c:pt>
                <c:pt idx="86">
                  <c:v>44.6</c:v>
                </c:pt>
                <c:pt idx="87">
                  <c:v>63.8</c:v>
                </c:pt>
                <c:pt idx="88">
                  <c:v>13.8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2.2000000000000002</c:v>
                </c:pt>
                <c:pt idx="99">
                  <c:v>3.2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1.2</c:v>
                </c:pt>
                <c:pt idx="104">
                  <c:v>0.2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3.4</c:v>
                </c:pt>
                <c:pt idx="114">
                  <c:v>11.6</c:v>
                </c:pt>
                <c:pt idx="115">
                  <c:v>12.2</c:v>
                </c:pt>
                <c:pt idx="116">
                  <c:v>0.2</c:v>
                </c:pt>
                <c:pt idx="117">
                  <c:v>4.4000000000000004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0.4</c:v>
                </c:pt>
                <c:pt idx="123">
                  <c:v>0</c:v>
                </c:pt>
                <c:pt idx="124">
                  <c:v>0</c:v>
                </c:pt>
                <c:pt idx="125">
                  <c:v>11</c:v>
                </c:pt>
                <c:pt idx="126">
                  <c:v>0.4</c:v>
                </c:pt>
                <c:pt idx="127">
                  <c:v>2.6</c:v>
                </c:pt>
                <c:pt idx="128">
                  <c:v>2</c:v>
                </c:pt>
                <c:pt idx="129">
                  <c:v>12.6</c:v>
                </c:pt>
                <c:pt idx="130">
                  <c:v>11.2</c:v>
                </c:pt>
                <c:pt idx="131">
                  <c:v>40.4</c:v>
                </c:pt>
                <c:pt idx="132">
                  <c:v>67.599999999999994</c:v>
                </c:pt>
                <c:pt idx="133">
                  <c:v>28.2</c:v>
                </c:pt>
                <c:pt idx="134">
                  <c:v>18.8</c:v>
                </c:pt>
                <c:pt idx="135">
                  <c:v>0.8</c:v>
                </c:pt>
                <c:pt idx="136">
                  <c:v>27</c:v>
                </c:pt>
                <c:pt idx="137">
                  <c:v>0.4</c:v>
                </c:pt>
                <c:pt idx="138">
                  <c:v>0.4</c:v>
                </c:pt>
                <c:pt idx="139">
                  <c:v>0.4</c:v>
                </c:pt>
                <c:pt idx="140">
                  <c:v>15.6</c:v>
                </c:pt>
                <c:pt idx="141">
                  <c:v>23.2</c:v>
                </c:pt>
                <c:pt idx="142">
                  <c:v>8.8000000000000007</c:v>
                </c:pt>
                <c:pt idx="143">
                  <c:v>6.4</c:v>
                </c:pt>
                <c:pt idx="144">
                  <c:v>0.4</c:v>
                </c:pt>
                <c:pt idx="145">
                  <c:v>0.4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0.8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6.8</c:v>
                </c:pt>
                <c:pt idx="155">
                  <c:v>0.2</c:v>
                </c:pt>
                <c:pt idx="156">
                  <c:v>2.2000000000000002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0.2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0.8</c:v>
                </c:pt>
                <c:pt idx="181">
                  <c:v>2.6</c:v>
                </c:pt>
                <c:pt idx="182">
                  <c:v>23.2</c:v>
                </c:pt>
                <c:pt idx="183">
                  <c:v>2</c:v>
                </c:pt>
                <c:pt idx="184">
                  <c:v>0.2</c:v>
                </c:pt>
                <c:pt idx="185">
                  <c:v>12.8</c:v>
                </c:pt>
                <c:pt idx="186">
                  <c:v>8.1999999999999993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3.2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1.8</c:v>
                </c:pt>
                <c:pt idx="202">
                  <c:v>15.4</c:v>
                </c:pt>
                <c:pt idx="203">
                  <c:v>4.4000000000000004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0.6</c:v>
                </c:pt>
                <c:pt idx="213">
                  <c:v>0.2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4.2</c:v>
                </c:pt>
                <c:pt idx="218">
                  <c:v>0.2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0.4</c:v>
                </c:pt>
                <c:pt idx="225">
                  <c:v>1.8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4.5999999999999996</c:v>
                </c:pt>
                <c:pt idx="236">
                  <c:v>5.6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0.2</c:v>
                </c:pt>
                <c:pt idx="241">
                  <c:v>5.6</c:v>
                </c:pt>
                <c:pt idx="242">
                  <c:v>5</c:v>
                </c:pt>
                <c:pt idx="243">
                  <c:v>0</c:v>
                </c:pt>
                <c:pt idx="244">
                  <c:v>0</c:v>
                </c:pt>
                <c:pt idx="245">
                  <c:v>9.4</c:v>
                </c:pt>
                <c:pt idx="246">
                  <c:v>3.2</c:v>
                </c:pt>
                <c:pt idx="247">
                  <c:v>0</c:v>
                </c:pt>
                <c:pt idx="248">
                  <c:v>5.6</c:v>
                </c:pt>
                <c:pt idx="249">
                  <c:v>0</c:v>
                </c:pt>
                <c:pt idx="250">
                  <c:v>0.2</c:v>
                </c:pt>
                <c:pt idx="251">
                  <c:v>9</c:v>
                </c:pt>
                <c:pt idx="252">
                  <c:v>3.8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4.2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22.4</c:v>
                </c:pt>
                <c:pt idx="265">
                  <c:v>31.6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4.8</c:v>
                </c:pt>
                <c:pt idx="271">
                  <c:v>0.2</c:v>
                </c:pt>
                <c:pt idx="272">
                  <c:v>0</c:v>
                </c:pt>
                <c:pt idx="273">
                  <c:v>0</c:v>
                </c:pt>
                <c:pt idx="274">
                  <c:v>4.5999999999999996</c:v>
                </c:pt>
                <c:pt idx="275">
                  <c:v>1.4</c:v>
                </c:pt>
                <c:pt idx="276">
                  <c:v>0</c:v>
                </c:pt>
                <c:pt idx="277">
                  <c:v>0</c:v>
                </c:pt>
                <c:pt idx="278">
                  <c:v>0.8</c:v>
                </c:pt>
                <c:pt idx="279">
                  <c:v>0</c:v>
                </c:pt>
                <c:pt idx="280">
                  <c:v>0</c:v>
                </c:pt>
                <c:pt idx="281">
                  <c:v>5.6</c:v>
                </c:pt>
                <c:pt idx="282">
                  <c:v>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3.4</c:v>
                </c:pt>
                <c:pt idx="287">
                  <c:v>0.2</c:v>
                </c:pt>
                <c:pt idx="288">
                  <c:v>0</c:v>
                </c:pt>
                <c:pt idx="289">
                  <c:v>0.8</c:v>
                </c:pt>
                <c:pt idx="290">
                  <c:v>0.2</c:v>
                </c:pt>
                <c:pt idx="291">
                  <c:v>0</c:v>
                </c:pt>
                <c:pt idx="292">
                  <c:v>19.399999999999999</c:v>
                </c:pt>
                <c:pt idx="293">
                  <c:v>2.8</c:v>
                </c:pt>
                <c:pt idx="294">
                  <c:v>16.399999999999999</c:v>
                </c:pt>
                <c:pt idx="295">
                  <c:v>45.2</c:v>
                </c:pt>
                <c:pt idx="296">
                  <c:v>2.8</c:v>
                </c:pt>
                <c:pt idx="297">
                  <c:v>7.4</c:v>
                </c:pt>
                <c:pt idx="298">
                  <c:v>3.4</c:v>
                </c:pt>
                <c:pt idx="299">
                  <c:v>0</c:v>
                </c:pt>
                <c:pt idx="300">
                  <c:v>1.6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7.8</c:v>
                </c:pt>
                <c:pt idx="305">
                  <c:v>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6.6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21.4</c:v>
                </c:pt>
                <c:pt idx="332">
                  <c:v>10.6</c:v>
                </c:pt>
                <c:pt idx="333">
                  <c:v>1.4</c:v>
                </c:pt>
                <c:pt idx="334">
                  <c:v>26.2</c:v>
                </c:pt>
                <c:pt idx="335">
                  <c:v>15.2</c:v>
                </c:pt>
                <c:pt idx="336">
                  <c:v>0</c:v>
                </c:pt>
                <c:pt idx="337">
                  <c:v>0.2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29.8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4.2</c:v>
                </c:pt>
                <c:pt idx="347">
                  <c:v>0</c:v>
                </c:pt>
                <c:pt idx="348">
                  <c:v>0</c:v>
                </c:pt>
                <c:pt idx="349">
                  <c:v>1.8</c:v>
                </c:pt>
                <c:pt idx="350">
                  <c:v>0.4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30.2</c:v>
                </c:pt>
                <c:pt idx="360">
                  <c:v>0.2</c:v>
                </c:pt>
                <c:pt idx="361">
                  <c:v>0.2</c:v>
                </c:pt>
                <c:pt idx="362">
                  <c:v>0</c:v>
                </c:pt>
                <c:pt idx="363">
                  <c:v>0.4</c:v>
                </c:pt>
                <c:pt idx="364">
                  <c:v>2.2000000000000002</c:v>
                </c:pt>
              </c:numCache>
            </c:numRef>
          </c:xVal>
          <c:yVal>
            <c:numRef>
              <c:f>Weather_data!$AM$2:$AM$366</c:f>
              <c:numCache>
                <c:formatCode>General</c:formatCode>
                <c:ptCount val="365"/>
                <c:pt idx="0">
                  <c:v>310</c:v>
                </c:pt>
                <c:pt idx="1">
                  <c:v>724</c:v>
                </c:pt>
                <c:pt idx="2">
                  <c:v>600</c:v>
                </c:pt>
                <c:pt idx="3">
                  <c:v>399</c:v>
                </c:pt>
                <c:pt idx="4">
                  <c:v>462</c:v>
                </c:pt>
                <c:pt idx="5">
                  <c:v>310</c:v>
                </c:pt>
                <c:pt idx="6">
                  <c:v>252</c:v>
                </c:pt>
                <c:pt idx="7">
                  <c:v>268</c:v>
                </c:pt>
                <c:pt idx="8">
                  <c:v>640</c:v>
                </c:pt>
                <c:pt idx="9">
                  <c:v>480</c:v>
                </c:pt>
                <c:pt idx="10">
                  <c:v>496</c:v>
                </c:pt>
                <c:pt idx="11">
                  <c:v>558</c:v>
                </c:pt>
                <c:pt idx="12">
                  <c:v>582</c:v>
                </c:pt>
                <c:pt idx="13">
                  <c:v>641</c:v>
                </c:pt>
                <c:pt idx="14">
                  <c:v>552</c:v>
                </c:pt>
                <c:pt idx="15">
                  <c:v>483</c:v>
                </c:pt>
                <c:pt idx="16">
                  <c:v>348</c:v>
                </c:pt>
                <c:pt idx="17">
                  <c:v>486</c:v>
                </c:pt>
                <c:pt idx="18">
                  <c:v>388</c:v>
                </c:pt>
                <c:pt idx="19">
                  <c:v>200</c:v>
                </c:pt>
                <c:pt idx="20">
                  <c:v>697</c:v>
                </c:pt>
                <c:pt idx="21">
                  <c:v>691</c:v>
                </c:pt>
                <c:pt idx="22">
                  <c:v>854</c:v>
                </c:pt>
                <c:pt idx="23">
                  <c:v>610</c:v>
                </c:pt>
                <c:pt idx="24">
                  <c:v>572</c:v>
                </c:pt>
                <c:pt idx="25">
                  <c:v>485</c:v>
                </c:pt>
                <c:pt idx="26">
                  <c:v>573</c:v>
                </c:pt>
                <c:pt idx="27">
                  <c:v>407</c:v>
                </c:pt>
                <c:pt idx="28">
                  <c:v>482</c:v>
                </c:pt>
                <c:pt idx="29">
                  <c:v>689</c:v>
                </c:pt>
                <c:pt idx="30">
                  <c:v>538</c:v>
                </c:pt>
                <c:pt idx="31">
                  <c:v>429</c:v>
                </c:pt>
                <c:pt idx="32">
                  <c:v>372</c:v>
                </c:pt>
                <c:pt idx="33">
                  <c:v>202</c:v>
                </c:pt>
                <c:pt idx="34">
                  <c:v>747</c:v>
                </c:pt>
                <c:pt idx="35">
                  <c:v>779</c:v>
                </c:pt>
                <c:pt idx="36">
                  <c:v>792</c:v>
                </c:pt>
                <c:pt idx="37">
                  <c:v>576</c:v>
                </c:pt>
                <c:pt idx="38">
                  <c:v>871</c:v>
                </c:pt>
                <c:pt idx="39">
                  <c:v>801</c:v>
                </c:pt>
                <c:pt idx="40">
                  <c:v>771</c:v>
                </c:pt>
                <c:pt idx="41">
                  <c:v>856</c:v>
                </c:pt>
                <c:pt idx="42">
                  <c:v>583</c:v>
                </c:pt>
                <c:pt idx="43">
                  <c:v>664</c:v>
                </c:pt>
                <c:pt idx="44">
                  <c:v>547</c:v>
                </c:pt>
                <c:pt idx="45">
                  <c:v>716</c:v>
                </c:pt>
                <c:pt idx="46">
                  <c:v>711</c:v>
                </c:pt>
                <c:pt idx="47">
                  <c:v>765</c:v>
                </c:pt>
                <c:pt idx="48">
                  <c:v>656</c:v>
                </c:pt>
                <c:pt idx="49">
                  <c:v>530</c:v>
                </c:pt>
                <c:pt idx="50">
                  <c:v>651</c:v>
                </c:pt>
                <c:pt idx="51">
                  <c:v>589</c:v>
                </c:pt>
                <c:pt idx="52">
                  <c:v>640</c:v>
                </c:pt>
                <c:pt idx="53">
                  <c:v>278</c:v>
                </c:pt>
                <c:pt idx="54">
                  <c:v>223</c:v>
                </c:pt>
                <c:pt idx="55">
                  <c:v>44</c:v>
                </c:pt>
                <c:pt idx="56">
                  <c:v>36</c:v>
                </c:pt>
                <c:pt idx="57">
                  <c:v>42</c:v>
                </c:pt>
                <c:pt idx="58">
                  <c:v>582</c:v>
                </c:pt>
                <c:pt idx="59">
                  <c:v>478</c:v>
                </c:pt>
                <c:pt idx="60">
                  <c:v>353</c:v>
                </c:pt>
                <c:pt idx="61">
                  <c:v>223</c:v>
                </c:pt>
                <c:pt idx="62">
                  <c:v>329</c:v>
                </c:pt>
                <c:pt idx="63">
                  <c:v>394</c:v>
                </c:pt>
                <c:pt idx="64">
                  <c:v>367</c:v>
                </c:pt>
                <c:pt idx="65">
                  <c:v>447</c:v>
                </c:pt>
                <c:pt idx="66">
                  <c:v>380</c:v>
                </c:pt>
                <c:pt idx="67">
                  <c:v>336</c:v>
                </c:pt>
                <c:pt idx="68">
                  <c:v>580</c:v>
                </c:pt>
                <c:pt idx="69">
                  <c:v>696</c:v>
                </c:pt>
                <c:pt idx="70">
                  <c:v>524</c:v>
                </c:pt>
                <c:pt idx="71">
                  <c:v>595</c:v>
                </c:pt>
                <c:pt idx="72">
                  <c:v>556</c:v>
                </c:pt>
                <c:pt idx="73">
                  <c:v>670</c:v>
                </c:pt>
                <c:pt idx="74">
                  <c:v>671</c:v>
                </c:pt>
                <c:pt idx="75">
                  <c:v>657</c:v>
                </c:pt>
                <c:pt idx="76">
                  <c:v>718</c:v>
                </c:pt>
                <c:pt idx="77">
                  <c:v>601</c:v>
                </c:pt>
                <c:pt idx="78">
                  <c:v>600</c:v>
                </c:pt>
                <c:pt idx="79">
                  <c:v>508</c:v>
                </c:pt>
                <c:pt idx="80">
                  <c:v>713</c:v>
                </c:pt>
                <c:pt idx="81">
                  <c:v>664</c:v>
                </c:pt>
                <c:pt idx="82">
                  <c:v>633</c:v>
                </c:pt>
                <c:pt idx="83">
                  <c:v>591</c:v>
                </c:pt>
                <c:pt idx="84">
                  <c:v>615</c:v>
                </c:pt>
                <c:pt idx="85">
                  <c:v>570</c:v>
                </c:pt>
                <c:pt idx="86">
                  <c:v>110</c:v>
                </c:pt>
                <c:pt idx="87">
                  <c:v>253</c:v>
                </c:pt>
                <c:pt idx="88">
                  <c:v>367</c:v>
                </c:pt>
                <c:pt idx="89">
                  <c:v>606</c:v>
                </c:pt>
                <c:pt idx="90">
                  <c:v>697</c:v>
                </c:pt>
                <c:pt idx="91">
                  <c:v>586</c:v>
                </c:pt>
                <c:pt idx="92">
                  <c:v>590</c:v>
                </c:pt>
                <c:pt idx="93">
                  <c:v>429</c:v>
                </c:pt>
                <c:pt idx="94">
                  <c:v>628</c:v>
                </c:pt>
                <c:pt idx="95">
                  <c:v>608</c:v>
                </c:pt>
                <c:pt idx="96">
                  <c:v>466</c:v>
                </c:pt>
                <c:pt idx="97">
                  <c:v>537</c:v>
                </c:pt>
                <c:pt idx="98">
                  <c:v>427</c:v>
                </c:pt>
                <c:pt idx="99">
                  <c:v>629</c:v>
                </c:pt>
                <c:pt idx="100">
                  <c:v>400</c:v>
                </c:pt>
                <c:pt idx="101">
                  <c:v>622</c:v>
                </c:pt>
                <c:pt idx="102">
                  <c:v>524</c:v>
                </c:pt>
                <c:pt idx="103">
                  <c:v>524</c:v>
                </c:pt>
                <c:pt idx="104">
                  <c:v>699</c:v>
                </c:pt>
                <c:pt idx="105">
                  <c:v>538</c:v>
                </c:pt>
                <c:pt idx="106">
                  <c:v>551</c:v>
                </c:pt>
                <c:pt idx="107">
                  <c:v>773</c:v>
                </c:pt>
                <c:pt idx="108">
                  <c:v>662</c:v>
                </c:pt>
                <c:pt idx="109">
                  <c:v>652</c:v>
                </c:pt>
                <c:pt idx="110">
                  <c:v>822</c:v>
                </c:pt>
                <c:pt idx="111">
                  <c:v>793</c:v>
                </c:pt>
                <c:pt idx="112">
                  <c:v>538</c:v>
                </c:pt>
                <c:pt idx="113">
                  <c:v>502</c:v>
                </c:pt>
                <c:pt idx="114">
                  <c:v>270</c:v>
                </c:pt>
                <c:pt idx="115">
                  <c:v>477</c:v>
                </c:pt>
                <c:pt idx="116">
                  <c:v>793</c:v>
                </c:pt>
                <c:pt idx="117">
                  <c:v>662</c:v>
                </c:pt>
                <c:pt idx="118">
                  <c:v>694</c:v>
                </c:pt>
                <c:pt idx="119">
                  <c:v>476</c:v>
                </c:pt>
                <c:pt idx="120">
                  <c:v>593</c:v>
                </c:pt>
                <c:pt idx="121">
                  <c:v>797</c:v>
                </c:pt>
                <c:pt idx="122">
                  <c:v>703</c:v>
                </c:pt>
                <c:pt idx="123">
                  <c:v>670</c:v>
                </c:pt>
                <c:pt idx="124">
                  <c:v>727</c:v>
                </c:pt>
                <c:pt idx="125">
                  <c:v>263</c:v>
                </c:pt>
                <c:pt idx="126">
                  <c:v>668</c:v>
                </c:pt>
                <c:pt idx="127">
                  <c:v>556</c:v>
                </c:pt>
                <c:pt idx="128">
                  <c:v>211</c:v>
                </c:pt>
                <c:pt idx="129">
                  <c:v>438</c:v>
                </c:pt>
                <c:pt idx="130">
                  <c:v>92</c:v>
                </c:pt>
                <c:pt idx="131">
                  <c:v>215</c:v>
                </c:pt>
                <c:pt idx="132">
                  <c:v>112</c:v>
                </c:pt>
                <c:pt idx="133">
                  <c:v>151</c:v>
                </c:pt>
                <c:pt idx="134">
                  <c:v>468</c:v>
                </c:pt>
                <c:pt idx="135">
                  <c:v>479</c:v>
                </c:pt>
                <c:pt idx="136">
                  <c:v>562</c:v>
                </c:pt>
                <c:pt idx="137">
                  <c:v>683</c:v>
                </c:pt>
                <c:pt idx="138">
                  <c:v>746</c:v>
                </c:pt>
                <c:pt idx="139">
                  <c:v>739</c:v>
                </c:pt>
                <c:pt idx="140">
                  <c:v>90</c:v>
                </c:pt>
                <c:pt idx="141">
                  <c:v>284</c:v>
                </c:pt>
                <c:pt idx="142">
                  <c:v>333</c:v>
                </c:pt>
                <c:pt idx="143">
                  <c:v>492</c:v>
                </c:pt>
                <c:pt idx="144">
                  <c:v>706</c:v>
                </c:pt>
                <c:pt idx="145">
                  <c:v>769</c:v>
                </c:pt>
                <c:pt idx="146">
                  <c:v>843</c:v>
                </c:pt>
                <c:pt idx="147">
                  <c:v>750</c:v>
                </c:pt>
                <c:pt idx="148">
                  <c:v>1198</c:v>
                </c:pt>
                <c:pt idx="149">
                  <c:v>491</c:v>
                </c:pt>
                <c:pt idx="150">
                  <c:v>495</c:v>
                </c:pt>
                <c:pt idx="151">
                  <c:v>664</c:v>
                </c:pt>
                <c:pt idx="152">
                  <c:v>779</c:v>
                </c:pt>
                <c:pt idx="153">
                  <c:v>651</c:v>
                </c:pt>
                <c:pt idx="154">
                  <c:v>543</c:v>
                </c:pt>
                <c:pt idx="155">
                  <c:v>849</c:v>
                </c:pt>
                <c:pt idx="156">
                  <c:v>333</c:v>
                </c:pt>
                <c:pt idx="157">
                  <c:v>637</c:v>
                </c:pt>
                <c:pt idx="158">
                  <c:v>635</c:v>
                </c:pt>
                <c:pt idx="159">
                  <c:v>610</c:v>
                </c:pt>
                <c:pt idx="160">
                  <c:v>578</c:v>
                </c:pt>
                <c:pt idx="161">
                  <c:v>584</c:v>
                </c:pt>
                <c:pt idx="162">
                  <c:v>605</c:v>
                </c:pt>
                <c:pt idx="163">
                  <c:v>523</c:v>
                </c:pt>
                <c:pt idx="164">
                  <c:v>589</c:v>
                </c:pt>
                <c:pt idx="165">
                  <c:v>613</c:v>
                </c:pt>
                <c:pt idx="166">
                  <c:v>655</c:v>
                </c:pt>
                <c:pt idx="167">
                  <c:v>686</c:v>
                </c:pt>
                <c:pt idx="168">
                  <c:v>648</c:v>
                </c:pt>
                <c:pt idx="169">
                  <c:v>712</c:v>
                </c:pt>
                <c:pt idx="170">
                  <c:v>496</c:v>
                </c:pt>
                <c:pt idx="171">
                  <c:v>655</c:v>
                </c:pt>
                <c:pt idx="172">
                  <c:v>677</c:v>
                </c:pt>
                <c:pt idx="173">
                  <c:v>685</c:v>
                </c:pt>
                <c:pt idx="174">
                  <c:v>618</c:v>
                </c:pt>
                <c:pt idx="175">
                  <c:v>708</c:v>
                </c:pt>
                <c:pt idx="176">
                  <c:v>712</c:v>
                </c:pt>
                <c:pt idx="177">
                  <c:v>437</c:v>
                </c:pt>
                <c:pt idx="178">
                  <c:v>623</c:v>
                </c:pt>
                <c:pt idx="179">
                  <c:v>566</c:v>
                </c:pt>
                <c:pt idx="180">
                  <c:v>529</c:v>
                </c:pt>
                <c:pt idx="181">
                  <c:v>164</c:v>
                </c:pt>
                <c:pt idx="182">
                  <c:v>186</c:v>
                </c:pt>
                <c:pt idx="183">
                  <c:v>711</c:v>
                </c:pt>
                <c:pt idx="184">
                  <c:v>257</c:v>
                </c:pt>
                <c:pt idx="185">
                  <c:v>93</c:v>
                </c:pt>
                <c:pt idx="186">
                  <c:v>318</c:v>
                </c:pt>
                <c:pt idx="187">
                  <c:v>542</c:v>
                </c:pt>
                <c:pt idx="188">
                  <c:v>654</c:v>
                </c:pt>
                <c:pt idx="189">
                  <c:v>664</c:v>
                </c:pt>
                <c:pt idx="190">
                  <c:v>708</c:v>
                </c:pt>
                <c:pt idx="191">
                  <c:v>445</c:v>
                </c:pt>
                <c:pt idx="192">
                  <c:v>509</c:v>
                </c:pt>
                <c:pt idx="193">
                  <c:v>510</c:v>
                </c:pt>
                <c:pt idx="194">
                  <c:v>571</c:v>
                </c:pt>
                <c:pt idx="195">
                  <c:v>651</c:v>
                </c:pt>
                <c:pt idx="196">
                  <c:v>691</c:v>
                </c:pt>
                <c:pt idx="197">
                  <c:v>727</c:v>
                </c:pt>
                <c:pt idx="198">
                  <c:v>525</c:v>
                </c:pt>
                <c:pt idx="199">
                  <c:v>612</c:v>
                </c:pt>
                <c:pt idx="200">
                  <c:v>550</c:v>
                </c:pt>
                <c:pt idx="201">
                  <c:v>316</c:v>
                </c:pt>
                <c:pt idx="202">
                  <c:v>137</c:v>
                </c:pt>
                <c:pt idx="203">
                  <c:v>755</c:v>
                </c:pt>
                <c:pt idx="204">
                  <c:v>938</c:v>
                </c:pt>
                <c:pt idx="205">
                  <c:v>543</c:v>
                </c:pt>
                <c:pt idx="206">
                  <c:v>605</c:v>
                </c:pt>
                <c:pt idx="207">
                  <c:v>642</c:v>
                </c:pt>
                <c:pt idx="208">
                  <c:v>636</c:v>
                </c:pt>
                <c:pt idx="209">
                  <c:v>622</c:v>
                </c:pt>
                <c:pt idx="210">
                  <c:v>677</c:v>
                </c:pt>
                <c:pt idx="211">
                  <c:v>593</c:v>
                </c:pt>
                <c:pt idx="212">
                  <c:v>448</c:v>
                </c:pt>
                <c:pt idx="213">
                  <c:v>722</c:v>
                </c:pt>
                <c:pt idx="214">
                  <c:v>690</c:v>
                </c:pt>
                <c:pt idx="215">
                  <c:v>760</c:v>
                </c:pt>
                <c:pt idx="216">
                  <c:v>693</c:v>
                </c:pt>
                <c:pt idx="217">
                  <c:v>411</c:v>
                </c:pt>
                <c:pt idx="218">
                  <c:v>779</c:v>
                </c:pt>
                <c:pt idx="219">
                  <c:v>603</c:v>
                </c:pt>
                <c:pt idx="220">
                  <c:v>626</c:v>
                </c:pt>
                <c:pt idx="221">
                  <c:v>804</c:v>
                </c:pt>
                <c:pt idx="222">
                  <c:v>606</c:v>
                </c:pt>
                <c:pt idx="223">
                  <c:v>747</c:v>
                </c:pt>
                <c:pt idx="224">
                  <c:v>329</c:v>
                </c:pt>
                <c:pt idx="225">
                  <c:v>825</c:v>
                </c:pt>
                <c:pt idx="226">
                  <c:v>574</c:v>
                </c:pt>
                <c:pt idx="227">
                  <c:v>711</c:v>
                </c:pt>
                <c:pt idx="228">
                  <c:v>743</c:v>
                </c:pt>
                <c:pt idx="229">
                  <c:v>711</c:v>
                </c:pt>
                <c:pt idx="230">
                  <c:v>728</c:v>
                </c:pt>
                <c:pt idx="231">
                  <c:v>698</c:v>
                </c:pt>
                <c:pt idx="232">
                  <c:v>784</c:v>
                </c:pt>
                <c:pt idx="233">
                  <c:v>549</c:v>
                </c:pt>
                <c:pt idx="234">
                  <c:v>736</c:v>
                </c:pt>
                <c:pt idx="235">
                  <c:v>564</c:v>
                </c:pt>
                <c:pt idx="236">
                  <c:v>713</c:v>
                </c:pt>
                <c:pt idx="237">
                  <c:v>769</c:v>
                </c:pt>
                <c:pt idx="238">
                  <c:v>671</c:v>
                </c:pt>
                <c:pt idx="239">
                  <c:v>397</c:v>
                </c:pt>
                <c:pt idx="240">
                  <c:v>497</c:v>
                </c:pt>
                <c:pt idx="241">
                  <c:v>556</c:v>
                </c:pt>
                <c:pt idx="242">
                  <c:v>427</c:v>
                </c:pt>
                <c:pt idx="243">
                  <c:v>776</c:v>
                </c:pt>
                <c:pt idx="244">
                  <c:v>543</c:v>
                </c:pt>
                <c:pt idx="245">
                  <c:v>280</c:v>
                </c:pt>
                <c:pt idx="246">
                  <c:v>766</c:v>
                </c:pt>
                <c:pt idx="247">
                  <c:v>508</c:v>
                </c:pt>
                <c:pt idx="248">
                  <c:v>744</c:v>
                </c:pt>
                <c:pt idx="249">
                  <c:v>691</c:v>
                </c:pt>
                <c:pt idx="250">
                  <c:v>704</c:v>
                </c:pt>
                <c:pt idx="251">
                  <c:v>310</c:v>
                </c:pt>
                <c:pt idx="252">
                  <c:v>652</c:v>
                </c:pt>
                <c:pt idx="253">
                  <c:v>712</c:v>
                </c:pt>
                <c:pt idx="254">
                  <c:v>549</c:v>
                </c:pt>
                <c:pt idx="255">
                  <c:v>718</c:v>
                </c:pt>
                <c:pt idx="256">
                  <c:v>692</c:v>
                </c:pt>
                <c:pt idx="257">
                  <c:v>612</c:v>
                </c:pt>
                <c:pt idx="258">
                  <c:v>314</c:v>
                </c:pt>
                <c:pt idx="259">
                  <c:v>505</c:v>
                </c:pt>
                <c:pt idx="260">
                  <c:v>743</c:v>
                </c:pt>
                <c:pt idx="261">
                  <c:v>433</c:v>
                </c:pt>
                <c:pt idx="262">
                  <c:v>598</c:v>
                </c:pt>
                <c:pt idx="263">
                  <c:v>510</c:v>
                </c:pt>
                <c:pt idx="264">
                  <c:v>269</c:v>
                </c:pt>
                <c:pt idx="265">
                  <c:v>520</c:v>
                </c:pt>
                <c:pt idx="266">
                  <c:v>668</c:v>
                </c:pt>
                <c:pt idx="267">
                  <c:v>708</c:v>
                </c:pt>
                <c:pt idx="268">
                  <c:v>494</c:v>
                </c:pt>
                <c:pt idx="269">
                  <c:v>578</c:v>
                </c:pt>
                <c:pt idx="270">
                  <c:v>467</c:v>
                </c:pt>
                <c:pt idx="271">
                  <c:v>753</c:v>
                </c:pt>
                <c:pt idx="272">
                  <c:v>716</c:v>
                </c:pt>
                <c:pt idx="273">
                  <c:v>643</c:v>
                </c:pt>
                <c:pt idx="274">
                  <c:v>333</c:v>
                </c:pt>
                <c:pt idx="275">
                  <c:v>875</c:v>
                </c:pt>
                <c:pt idx="276">
                  <c:v>718</c:v>
                </c:pt>
                <c:pt idx="277">
                  <c:v>788</c:v>
                </c:pt>
                <c:pt idx="278">
                  <c:v>608</c:v>
                </c:pt>
                <c:pt idx="279">
                  <c:v>825</c:v>
                </c:pt>
                <c:pt idx="280">
                  <c:v>837</c:v>
                </c:pt>
                <c:pt idx="281">
                  <c:v>465</c:v>
                </c:pt>
                <c:pt idx="282">
                  <c:v>606</c:v>
                </c:pt>
                <c:pt idx="283">
                  <c:v>795</c:v>
                </c:pt>
                <c:pt idx="284">
                  <c:v>750</c:v>
                </c:pt>
                <c:pt idx="285">
                  <c:v>903</c:v>
                </c:pt>
                <c:pt idx="286">
                  <c:v>633</c:v>
                </c:pt>
                <c:pt idx="287">
                  <c:v>691</c:v>
                </c:pt>
                <c:pt idx="288">
                  <c:v>689</c:v>
                </c:pt>
                <c:pt idx="289">
                  <c:v>593</c:v>
                </c:pt>
                <c:pt idx="290">
                  <c:v>787</c:v>
                </c:pt>
                <c:pt idx="291">
                  <c:v>470</c:v>
                </c:pt>
                <c:pt idx="292">
                  <c:v>414</c:v>
                </c:pt>
                <c:pt idx="293">
                  <c:v>322</c:v>
                </c:pt>
                <c:pt idx="294">
                  <c:v>197</c:v>
                </c:pt>
                <c:pt idx="295">
                  <c:v>152</c:v>
                </c:pt>
                <c:pt idx="296">
                  <c:v>563</c:v>
                </c:pt>
                <c:pt idx="297">
                  <c:v>387</c:v>
                </c:pt>
                <c:pt idx="298">
                  <c:v>647</c:v>
                </c:pt>
                <c:pt idx="299">
                  <c:v>593</c:v>
                </c:pt>
                <c:pt idx="300">
                  <c:v>508</c:v>
                </c:pt>
                <c:pt idx="301">
                  <c:v>517</c:v>
                </c:pt>
                <c:pt idx="302">
                  <c:v>485</c:v>
                </c:pt>
                <c:pt idx="303">
                  <c:v>544</c:v>
                </c:pt>
                <c:pt idx="304">
                  <c:v>314</c:v>
                </c:pt>
                <c:pt idx="305">
                  <c:v>786</c:v>
                </c:pt>
                <c:pt idx="306">
                  <c:v>808</c:v>
                </c:pt>
                <c:pt idx="307">
                  <c:v>880</c:v>
                </c:pt>
                <c:pt idx="308">
                  <c:v>744</c:v>
                </c:pt>
                <c:pt idx="309">
                  <c:v>737</c:v>
                </c:pt>
                <c:pt idx="310">
                  <c:v>593</c:v>
                </c:pt>
                <c:pt idx="311">
                  <c:v>790</c:v>
                </c:pt>
                <c:pt idx="312">
                  <c:v>790</c:v>
                </c:pt>
                <c:pt idx="313">
                  <c:v>713</c:v>
                </c:pt>
                <c:pt idx="314">
                  <c:v>847</c:v>
                </c:pt>
                <c:pt idx="315">
                  <c:v>704</c:v>
                </c:pt>
                <c:pt idx="316">
                  <c:v>662</c:v>
                </c:pt>
                <c:pt idx="317">
                  <c:v>501</c:v>
                </c:pt>
                <c:pt idx="318">
                  <c:v>530</c:v>
                </c:pt>
                <c:pt idx="319">
                  <c:v>665</c:v>
                </c:pt>
                <c:pt idx="320">
                  <c:v>745</c:v>
                </c:pt>
                <c:pt idx="321">
                  <c:v>755</c:v>
                </c:pt>
                <c:pt idx="322">
                  <c:v>637</c:v>
                </c:pt>
                <c:pt idx="323">
                  <c:v>351</c:v>
                </c:pt>
                <c:pt idx="324">
                  <c:v>286</c:v>
                </c:pt>
                <c:pt idx="325">
                  <c:v>592</c:v>
                </c:pt>
                <c:pt idx="326">
                  <c:v>667</c:v>
                </c:pt>
                <c:pt idx="327">
                  <c:v>588</c:v>
                </c:pt>
                <c:pt idx="328">
                  <c:v>659</c:v>
                </c:pt>
                <c:pt idx="329">
                  <c:v>527</c:v>
                </c:pt>
                <c:pt idx="330">
                  <c:v>467</c:v>
                </c:pt>
                <c:pt idx="331">
                  <c:v>326</c:v>
                </c:pt>
                <c:pt idx="332">
                  <c:v>487</c:v>
                </c:pt>
                <c:pt idx="333">
                  <c:v>329</c:v>
                </c:pt>
                <c:pt idx="334">
                  <c:v>70</c:v>
                </c:pt>
                <c:pt idx="335">
                  <c:v>475</c:v>
                </c:pt>
                <c:pt idx="336">
                  <c:v>566</c:v>
                </c:pt>
                <c:pt idx="337">
                  <c:v>605</c:v>
                </c:pt>
                <c:pt idx="338">
                  <c:v>446</c:v>
                </c:pt>
                <c:pt idx="339">
                  <c:v>422</c:v>
                </c:pt>
                <c:pt idx="340">
                  <c:v>488</c:v>
                </c:pt>
                <c:pt idx="341">
                  <c:v>215</c:v>
                </c:pt>
                <c:pt idx="342">
                  <c:v>708</c:v>
                </c:pt>
                <c:pt idx="343">
                  <c:v>573</c:v>
                </c:pt>
                <c:pt idx="344">
                  <c:v>568</c:v>
                </c:pt>
                <c:pt idx="345">
                  <c:v>410</c:v>
                </c:pt>
                <c:pt idx="346">
                  <c:v>555</c:v>
                </c:pt>
                <c:pt idx="347">
                  <c:v>489</c:v>
                </c:pt>
                <c:pt idx="348">
                  <c:v>545</c:v>
                </c:pt>
                <c:pt idx="349">
                  <c:v>645</c:v>
                </c:pt>
                <c:pt idx="350">
                  <c:v>655</c:v>
                </c:pt>
                <c:pt idx="351">
                  <c:v>901</c:v>
                </c:pt>
                <c:pt idx="352">
                  <c:v>485</c:v>
                </c:pt>
                <c:pt idx="353">
                  <c:v>677</c:v>
                </c:pt>
                <c:pt idx="354">
                  <c:v>654</c:v>
                </c:pt>
                <c:pt idx="355">
                  <c:v>696</c:v>
                </c:pt>
                <c:pt idx="356">
                  <c:v>625</c:v>
                </c:pt>
                <c:pt idx="357">
                  <c:v>536</c:v>
                </c:pt>
                <c:pt idx="358">
                  <c:v>314</c:v>
                </c:pt>
                <c:pt idx="359">
                  <c:v>510</c:v>
                </c:pt>
                <c:pt idx="360">
                  <c:v>501</c:v>
                </c:pt>
                <c:pt idx="361">
                  <c:v>588</c:v>
                </c:pt>
                <c:pt idx="362">
                  <c:v>515</c:v>
                </c:pt>
                <c:pt idx="363">
                  <c:v>387</c:v>
                </c:pt>
                <c:pt idx="36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7-4C41-B0D6-62BEB35A1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5035152"/>
        <c:axId val="1295036592"/>
      </c:scatterChart>
      <c:valAx>
        <c:axId val="129503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Rainfall(mm)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36592"/>
        <c:crosses val="autoZero"/>
        <c:crossBetween val="midCat"/>
      </c:valAx>
      <c:valAx>
        <c:axId val="129503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2000"/>
                  <a:t>Number of Pedestrians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0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</cx:f>
      </cx:strDim>
      <cx:numDim type="val">
        <cx:f>_xlchart.v1.3</cx:f>
      </cx:numDim>
    </cx:data>
  </cx:chartData>
  <cx:chart>
    <cx:title pos="t" align="ctr" overlay="0">
      <cx:tx>
        <cx:txData>
          <cx:v>2.2A.1). Histogram for Maximum Temperature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3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2.2A.1). Histogram for Maximum Temperature</a:t>
          </a:r>
        </a:p>
      </cx:txPr>
    </cx:title>
    <cx:plotArea>
      <cx:plotAreaRegion>
        <cx:series layoutId="clusteredColumn" uniqueId="{61207C14-BECF-401A-895E-70A3F7715C14}">
          <cx:tx>
            <cx:txData>
              <cx:f>_xlchart.v1.2</cx:f>
              <cx:v>Maximum temperature (Degree C)</cx:v>
            </cx:txData>
          </cx:tx>
          <cx:dataId val="0"/>
          <cx:layoutPr>
            <cx:binning intervalClosed="r" overflow="auto"/>
          </cx:layoutPr>
        </cx:series>
      </cx:plotAreaRegion>
      <cx:axis id="0">
        <cx:catScaling gapWidth="0"/>
        <cx:title>
          <cx:tx>
            <cx:txData>
              <cx:v>Temperature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Temperature</a:t>
              </a:r>
            </a:p>
          </cx:txPr>
        </cx:title>
        <cx:majorTickMarks type="cross"/>
        <cx:minorTickMarks type="cross"/>
        <cx:tickLabels/>
        <cx:numFmt formatCode="#,##0;-#,##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Number of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Days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2.2A.2). Histogram for Daily Global Solar Exposure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3000"/>
          </a:pPr>
          <a:r>
            <a:rPr lang="en-US" sz="3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2.2A.2). Histogram for Daily Global Solar Exposure</a:t>
          </a:r>
        </a:p>
      </cx:txPr>
    </cx:title>
    <cx:plotArea>
      <cx:plotAreaRegion>
        <cx:series layoutId="clusteredColumn" uniqueId="{D188E2D0-08FA-4AE5-841C-4C24C9E4C212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Exposure Rates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Exposure Rates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Number of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Days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2.2.A.3). Histogram for Rainfall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3000"/>
          </a:pPr>
          <a:r>
            <a:rPr lang="en-US" sz="3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2.2.A.3). Histogram for Rainfall Amount</a:t>
          </a:r>
        </a:p>
      </cx:txPr>
    </cx:title>
    <cx:plotArea>
      <cx:plotAreaRegion>
        <cx:series layoutId="clusteredColumn" uniqueId="{6BE805C5-7259-496C-B4C8-D740F191299A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Rainfall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Rainfall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Number of Days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2000"/>
              </a:pPr>
              <a:r>
                <a:rPr lang="en-US" sz="20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Days</a:t>
              </a:r>
            </a:p>
          </cx:txPr>
        </cx:title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/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microsoft.com/office/2014/relationships/chartEx" Target="../charts/chartEx3.xml"/><Relationship Id="rId7" Type="http://schemas.openxmlformats.org/officeDocument/2006/relationships/chart" Target="../charts/chart4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28121</xdr:colOff>
      <xdr:row>3</xdr:row>
      <xdr:rowOff>13608</xdr:rowOff>
    </xdr:from>
    <xdr:to>
      <xdr:col>21</xdr:col>
      <xdr:colOff>145142</xdr:colOff>
      <xdr:row>24</xdr:row>
      <xdr:rowOff>54429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3C9C324-80A1-0DB6-8B2B-1A24A4FBEF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0641" y="562248"/>
              <a:ext cx="8902881" cy="3881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36286</xdr:colOff>
      <xdr:row>24</xdr:row>
      <xdr:rowOff>172356</xdr:rowOff>
    </xdr:from>
    <xdr:to>
      <xdr:col>21</xdr:col>
      <xdr:colOff>145144</xdr:colOff>
      <xdr:row>46</xdr:row>
      <xdr:rowOff>24492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18FE6A3F-3D23-0660-9C20-E5D2BEBAF7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8806" y="4561476"/>
              <a:ext cx="8894718" cy="3875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45356</xdr:colOff>
      <xdr:row>46</xdr:row>
      <xdr:rowOff>154215</xdr:rowOff>
    </xdr:from>
    <xdr:to>
      <xdr:col>21</xdr:col>
      <xdr:colOff>154213</xdr:colOff>
      <xdr:row>68</xdr:row>
      <xdr:rowOff>6351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82FE5AA-BBD4-1A39-1DCC-24A2500310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67876" y="8566695"/>
              <a:ext cx="8894717" cy="38754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71437</xdr:colOff>
      <xdr:row>367</xdr:row>
      <xdr:rowOff>95249</xdr:rowOff>
    </xdr:from>
    <xdr:to>
      <xdr:col>36</xdr:col>
      <xdr:colOff>571500</xdr:colOff>
      <xdr:row>392</xdr:row>
      <xdr:rowOff>142874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699BC6B-47D7-0C72-F550-E24B4B8C4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61153</xdr:colOff>
      <xdr:row>392</xdr:row>
      <xdr:rowOff>169448</xdr:rowOff>
    </xdr:from>
    <xdr:to>
      <xdr:col>36</xdr:col>
      <xdr:colOff>563217</xdr:colOff>
      <xdr:row>418</xdr:row>
      <xdr:rowOff>30092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D757B35-C1DC-66EC-2ABD-D0AF7F6D7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66259</xdr:colOff>
      <xdr:row>418</xdr:row>
      <xdr:rowOff>19877</xdr:rowOff>
    </xdr:from>
    <xdr:to>
      <xdr:col>36</xdr:col>
      <xdr:colOff>563217</xdr:colOff>
      <xdr:row>443</xdr:row>
      <xdr:rowOff>66260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D4FB068-37E3-B71D-8F17-7F6DF1016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565914</xdr:colOff>
      <xdr:row>367</xdr:row>
      <xdr:rowOff>91918</xdr:rowOff>
    </xdr:from>
    <xdr:to>
      <xdr:col>53</xdr:col>
      <xdr:colOff>20802</xdr:colOff>
      <xdr:row>393</xdr:row>
      <xdr:rowOff>1926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8B99C76-389C-14F0-A22E-2AEAE6696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541866</xdr:colOff>
      <xdr:row>393</xdr:row>
      <xdr:rowOff>0</xdr:rowOff>
    </xdr:from>
    <xdr:to>
      <xdr:col>53</xdr:col>
      <xdr:colOff>16933</xdr:colOff>
      <xdr:row>418</xdr:row>
      <xdr:rowOff>16933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85CCC47-F8BE-2392-F1A3-3AF00EB3EE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524933</xdr:colOff>
      <xdr:row>418</xdr:row>
      <xdr:rowOff>16933</xdr:rowOff>
    </xdr:from>
    <xdr:to>
      <xdr:col>53</xdr:col>
      <xdr:colOff>33866</xdr:colOff>
      <xdr:row>442</xdr:row>
      <xdr:rowOff>169332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4D5B8B0-F1B3-BEC6-6CBF-E0519DD7B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BA99D-E699-4F72-AC47-8C7C1BFC99FF}" name="Table1" displayName="Table1" ref="A1:E76" totalsRowShown="0" headerRowDxfId="17">
  <autoFilter ref="A1:E76" xr:uid="{8F2BA99D-E699-4F72-AC47-8C7C1BFC99FF}"/>
  <tableColumns count="5">
    <tableColumn id="1" xr3:uid="{E94ED427-F50E-4893-8012-143569785D22}" name="Year" dataDxfId="16"/>
    <tableColumn id="2" xr3:uid="{B85BA58D-69A1-49D0-B89F-250DFE9286CC}" name="Category" dataDxfId="15"/>
    <tableColumn id="3" xr3:uid="{1D2D1A34-36DA-4CDC-88DC-878C8EE34056}" name="Product" dataDxfId="14"/>
    <tableColumn id="4" xr3:uid="{B6216ACD-1374-488E-B7CD-AE8A8D2D6B9B}" name="Sales" dataDxfId="13"/>
    <tableColumn id="5" xr3:uid="{91DF3EDA-8CF4-4A95-A3DF-3CDD73D4C213}" name="Rating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98A0-70B1-4DC5-BB2A-0ECDB998B216}">
  <dimension ref="A1:AY391"/>
  <sheetViews>
    <sheetView tabSelected="1" topLeftCell="F100" zoomScale="93" workbookViewId="0">
      <selection activeCell="O118" sqref="O118"/>
    </sheetView>
  </sheetViews>
  <sheetFormatPr defaultRowHeight="14.4" x14ac:dyDescent="0.3"/>
  <cols>
    <col min="1" max="1" width="9.5546875" bestFit="1" customWidth="1"/>
    <col min="11" max="11" width="12" bestFit="1" customWidth="1"/>
    <col min="12" max="12" width="12.109375" bestFit="1" customWidth="1"/>
    <col min="16" max="16" width="12" bestFit="1" customWidth="1"/>
    <col min="19" max="19" width="12" bestFit="1" customWidth="1"/>
    <col min="22" max="22" width="11.21875" bestFit="1" customWidth="1"/>
    <col min="27" max="27" width="9.77734375" bestFit="1" customWidth="1"/>
    <col min="28" max="32" width="9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  <c r="L1" t="s">
        <v>9</v>
      </c>
      <c r="V1" t="s">
        <v>0</v>
      </c>
      <c r="W1" t="s">
        <v>1</v>
      </c>
      <c r="X1" t="s">
        <v>2</v>
      </c>
      <c r="Y1" t="s">
        <v>3</v>
      </c>
      <c r="Z1" t="s">
        <v>31</v>
      </c>
      <c r="AA1" t="s">
        <v>32</v>
      </c>
      <c r="AB1" t="s">
        <v>33</v>
      </c>
      <c r="AC1" t="s">
        <v>35</v>
      </c>
      <c r="AD1" t="s">
        <v>1</v>
      </c>
      <c r="AE1" t="s">
        <v>31</v>
      </c>
      <c r="AF1" t="s">
        <v>33</v>
      </c>
      <c r="AG1" t="s">
        <v>34</v>
      </c>
      <c r="AH1" t="s">
        <v>2</v>
      </c>
      <c r="AI1" t="s">
        <v>31</v>
      </c>
      <c r="AJ1" t="s">
        <v>33</v>
      </c>
      <c r="AK1" t="s">
        <v>36</v>
      </c>
      <c r="AL1" t="s">
        <v>3</v>
      </c>
      <c r="AM1" t="s">
        <v>31</v>
      </c>
      <c r="AN1" t="s">
        <v>33</v>
      </c>
      <c r="AO1" t="s">
        <v>37</v>
      </c>
      <c r="AP1" t="s">
        <v>1</v>
      </c>
      <c r="AQ1" t="s">
        <v>32</v>
      </c>
      <c r="AR1" t="s">
        <v>33</v>
      </c>
      <c r="AS1" t="s">
        <v>38</v>
      </c>
      <c r="AT1" t="s">
        <v>2</v>
      </c>
      <c r="AU1" t="s">
        <v>32</v>
      </c>
      <c r="AV1" t="s">
        <v>33</v>
      </c>
      <c r="AW1" t="s">
        <v>39</v>
      </c>
      <c r="AX1" t="s">
        <v>3</v>
      </c>
      <c r="AY1" t="s">
        <v>32</v>
      </c>
    </row>
    <row r="2" spans="1:51" x14ac:dyDescent="0.3">
      <c r="A2" s="1">
        <v>44562</v>
      </c>
      <c r="B2">
        <v>26.6</v>
      </c>
      <c r="C2">
        <v>10.1</v>
      </c>
      <c r="D2">
        <v>5.6</v>
      </c>
      <c r="E2">
        <f>COUNT(A2:D2)</f>
        <v>4</v>
      </c>
      <c r="F2">
        <f>COUNTA(A2:D2)</f>
        <v>4</v>
      </c>
      <c r="G2">
        <f>COUNTBLANK(A2:D2)</f>
        <v>0</v>
      </c>
      <c r="I2" s="2"/>
      <c r="J2">
        <f>AVERAGE(B2:B366)</f>
        <v>25.690410958904131</v>
      </c>
      <c r="K2">
        <f>AVERAGE(C2:C366)</f>
        <v>17.63342465753426</v>
      </c>
      <c r="L2">
        <f>AVERAGE(D2:D366)</f>
        <v>4.7282191780821963</v>
      </c>
      <c r="V2" s="1">
        <v>44562</v>
      </c>
      <c r="W2">
        <v>26.6</v>
      </c>
      <c r="X2">
        <v>10.1</v>
      </c>
      <c r="Y2">
        <v>5.6</v>
      </c>
      <c r="Z2">
        <v>310</v>
      </c>
      <c r="AA2">
        <v>142</v>
      </c>
      <c r="AD2">
        <v>26.6</v>
      </c>
      <c r="AE2">
        <v>310</v>
      </c>
      <c r="AH2">
        <v>10.1</v>
      </c>
      <c r="AI2">
        <v>310</v>
      </c>
      <c r="AL2">
        <v>5.6</v>
      </c>
      <c r="AM2">
        <v>310</v>
      </c>
      <c r="AP2">
        <v>26.6</v>
      </c>
      <c r="AQ2">
        <v>142</v>
      </c>
      <c r="AT2">
        <v>10.1</v>
      </c>
      <c r="AU2">
        <v>142</v>
      </c>
      <c r="AX2">
        <v>5.6</v>
      </c>
      <c r="AY2">
        <v>142</v>
      </c>
    </row>
    <row r="3" spans="1:51" x14ac:dyDescent="0.3">
      <c r="A3" s="1">
        <v>44563</v>
      </c>
      <c r="B3">
        <v>27.7</v>
      </c>
      <c r="C3">
        <v>17.8</v>
      </c>
      <c r="D3">
        <v>5.6</v>
      </c>
      <c r="E3">
        <f t="shared" ref="E3:E66" si="0">COUNT(A3:D3)</f>
        <v>4</v>
      </c>
      <c r="F3">
        <f t="shared" ref="F3:F66" si="1">COUNTA(A3:D3)</f>
        <v>4</v>
      </c>
      <c r="G3">
        <f t="shared" ref="G3:G66" si="2">COUNTBLANK(A3:D3)</f>
        <v>0</v>
      </c>
      <c r="J3">
        <v>25.7</v>
      </c>
      <c r="K3">
        <v>17.399999999999999</v>
      </c>
      <c r="L3">
        <v>5.6</v>
      </c>
      <c r="V3" s="1">
        <v>44563</v>
      </c>
      <c r="W3">
        <v>27.7</v>
      </c>
      <c r="X3">
        <v>17.8</v>
      </c>
      <c r="Y3">
        <v>5.6</v>
      </c>
      <c r="Z3">
        <v>724</v>
      </c>
      <c r="AA3">
        <v>829</v>
      </c>
      <c r="AD3">
        <v>27.7</v>
      </c>
      <c r="AE3">
        <v>724</v>
      </c>
      <c r="AH3">
        <v>17.8</v>
      </c>
      <c r="AI3">
        <v>724</v>
      </c>
      <c r="AL3">
        <v>5.6</v>
      </c>
      <c r="AM3">
        <v>724</v>
      </c>
      <c r="AP3">
        <v>27.7</v>
      </c>
      <c r="AQ3">
        <v>829</v>
      </c>
      <c r="AT3">
        <v>17.8</v>
      </c>
      <c r="AU3">
        <v>829</v>
      </c>
      <c r="AX3">
        <v>5.6</v>
      </c>
      <c r="AY3">
        <v>829</v>
      </c>
    </row>
    <row r="4" spans="1:51" x14ac:dyDescent="0.3">
      <c r="A4" s="1">
        <v>44564</v>
      </c>
      <c r="B4">
        <v>30.2</v>
      </c>
      <c r="C4">
        <v>23.4</v>
      </c>
      <c r="D4">
        <v>0</v>
      </c>
      <c r="E4">
        <f t="shared" si="0"/>
        <v>4</v>
      </c>
      <c r="F4">
        <f t="shared" si="1"/>
        <v>4</v>
      </c>
      <c r="G4">
        <f t="shared" si="2"/>
        <v>0</v>
      </c>
      <c r="V4" s="1">
        <v>44564</v>
      </c>
      <c r="W4">
        <v>30.2</v>
      </c>
      <c r="X4">
        <v>23.4</v>
      </c>
      <c r="Y4">
        <v>0</v>
      </c>
      <c r="Z4">
        <v>600</v>
      </c>
      <c r="AA4">
        <v>801</v>
      </c>
      <c r="AD4">
        <v>30.2</v>
      </c>
      <c r="AE4">
        <v>600</v>
      </c>
      <c r="AH4">
        <v>23.4</v>
      </c>
      <c r="AI4">
        <v>600</v>
      </c>
      <c r="AL4">
        <v>0</v>
      </c>
      <c r="AM4">
        <v>600</v>
      </c>
      <c r="AP4">
        <v>30.2</v>
      </c>
      <c r="AQ4">
        <v>801</v>
      </c>
      <c r="AT4">
        <v>23.4</v>
      </c>
      <c r="AU4">
        <v>801</v>
      </c>
      <c r="AX4">
        <v>0</v>
      </c>
      <c r="AY4">
        <v>801</v>
      </c>
    </row>
    <row r="5" spans="1:51" x14ac:dyDescent="0.3">
      <c r="A5" s="1">
        <v>44565</v>
      </c>
      <c r="B5">
        <v>31.8</v>
      </c>
      <c r="C5">
        <v>26.4</v>
      </c>
      <c r="D5">
        <v>0</v>
      </c>
      <c r="E5">
        <f t="shared" si="0"/>
        <v>4</v>
      </c>
      <c r="F5">
        <f t="shared" si="1"/>
        <v>4</v>
      </c>
      <c r="G5">
        <f t="shared" si="2"/>
        <v>0</v>
      </c>
      <c r="V5" s="1">
        <v>44565</v>
      </c>
      <c r="W5">
        <v>31.8</v>
      </c>
      <c r="X5">
        <v>26.4</v>
      </c>
      <c r="Y5">
        <v>0</v>
      </c>
      <c r="Z5">
        <v>399</v>
      </c>
      <c r="AA5">
        <v>578</v>
      </c>
      <c r="AD5">
        <v>31.8</v>
      </c>
      <c r="AE5">
        <v>399</v>
      </c>
      <c r="AH5">
        <v>26.4</v>
      </c>
      <c r="AI5">
        <v>399</v>
      </c>
      <c r="AL5">
        <v>0</v>
      </c>
      <c r="AM5">
        <v>399</v>
      </c>
      <c r="AP5">
        <v>31.8</v>
      </c>
      <c r="AQ5">
        <v>578</v>
      </c>
      <c r="AT5">
        <v>26.4</v>
      </c>
      <c r="AU5">
        <v>578</v>
      </c>
      <c r="AX5">
        <v>0</v>
      </c>
      <c r="AY5">
        <v>578</v>
      </c>
    </row>
    <row r="6" spans="1:51" x14ac:dyDescent="0.3">
      <c r="A6" s="1">
        <v>44566</v>
      </c>
      <c r="B6">
        <v>30.3</v>
      </c>
      <c r="C6">
        <v>23.8</v>
      </c>
      <c r="D6">
        <v>0.2</v>
      </c>
      <c r="E6">
        <f t="shared" si="0"/>
        <v>4</v>
      </c>
      <c r="F6">
        <f t="shared" si="1"/>
        <v>4</v>
      </c>
      <c r="G6">
        <f t="shared" si="2"/>
        <v>0</v>
      </c>
      <c r="V6" s="1">
        <v>44566</v>
      </c>
      <c r="W6">
        <v>30.3</v>
      </c>
      <c r="X6">
        <v>23.8</v>
      </c>
      <c r="Y6">
        <v>0.2</v>
      </c>
      <c r="Z6">
        <v>462</v>
      </c>
      <c r="AA6">
        <v>588</v>
      </c>
      <c r="AD6">
        <v>30.3</v>
      </c>
      <c r="AE6">
        <v>462</v>
      </c>
      <c r="AH6">
        <v>23.8</v>
      </c>
      <c r="AI6">
        <v>462</v>
      </c>
      <c r="AL6">
        <v>0.2</v>
      </c>
      <c r="AM6">
        <v>462</v>
      </c>
      <c r="AP6">
        <v>30.3</v>
      </c>
      <c r="AQ6">
        <v>588</v>
      </c>
      <c r="AT6">
        <v>23.8</v>
      </c>
      <c r="AU6">
        <v>588</v>
      </c>
      <c r="AX6">
        <v>0.2</v>
      </c>
      <c r="AY6">
        <v>588</v>
      </c>
    </row>
    <row r="7" spans="1:51" x14ac:dyDescent="0.3">
      <c r="A7" s="1">
        <v>44567</v>
      </c>
      <c r="B7">
        <v>30</v>
      </c>
      <c r="C7">
        <v>16.8</v>
      </c>
      <c r="D7">
        <v>3.8</v>
      </c>
      <c r="E7">
        <f t="shared" si="0"/>
        <v>4</v>
      </c>
      <c r="F7">
        <f t="shared" si="1"/>
        <v>4</v>
      </c>
      <c r="G7">
        <f t="shared" si="2"/>
        <v>0</v>
      </c>
      <c r="V7" s="1">
        <v>44567</v>
      </c>
      <c r="W7">
        <v>30</v>
      </c>
      <c r="X7">
        <v>16.8</v>
      </c>
      <c r="Y7">
        <v>3.8</v>
      </c>
      <c r="Z7">
        <v>310</v>
      </c>
      <c r="AA7">
        <v>371</v>
      </c>
      <c r="AD7">
        <v>30</v>
      </c>
      <c r="AE7">
        <v>310</v>
      </c>
      <c r="AH7">
        <v>16.8</v>
      </c>
      <c r="AI7">
        <v>310</v>
      </c>
      <c r="AL7">
        <v>3.8</v>
      </c>
      <c r="AM7">
        <v>310</v>
      </c>
      <c r="AP7">
        <v>30</v>
      </c>
      <c r="AQ7">
        <v>371</v>
      </c>
      <c r="AT7">
        <v>16.8</v>
      </c>
      <c r="AU7">
        <v>371</v>
      </c>
      <c r="AX7">
        <v>3.8</v>
      </c>
      <c r="AY7">
        <v>371</v>
      </c>
    </row>
    <row r="8" spans="1:51" x14ac:dyDescent="0.3">
      <c r="A8" s="1">
        <v>44568</v>
      </c>
      <c r="B8">
        <v>28.8</v>
      </c>
      <c r="C8">
        <f>2*9.8</f>
        <v>19.600000000000001</v>
      </c>
      <c r="D8">
        <v>0</v>
      </c>
      <c r="E8">
        <f t="shared" si="0"/>
        <v>4</v>
      </c>
      <c r="F8">
        <f t="shared" si="1"/>
        <v>4</v>
      </c>
      <c r="G8">
        <f t="shared" si="2"/>
        <v>0</v>
      </c>
      <c r="V8" s="1">
        <v>44568</v>
      </c>
      <c r="W8">
        <v>28.8</v>
      </c>
      <c r="X8">
        <f>2*9.8</f>
        <v>19.600000000000001</v>
      </c>
      <c r="Y8">
        <v>0</v>
      </c>
      <c r="Z8">
        <v>252</v>
      </c>
      <c r="AA8">
        <v>349</v>
      </c>
      <c r="AD8">
        <v>28.8</v>
      </c>
      <c r="AE8">
        <v>252</v>
      </c>
      <c r="AH8">
        <f>2*9.8</f>
        <v>19.600000000000001</v>
      </c>
      <c r="AI8">
        <v>252</v>
      </c>
      <c r="AL8">
        <v>0</v>
      </c>
      <c r="AM8">
        <v>252</v>
      </c>
      <c r="AP8">
        <v>28.8</v>
      </c>
      <c r="AQ8">
        <v>349</v>
      </c>
      <c r="AT8">
        <f>2*9.8</f>
        <v>19.600000000000001</v>
      </c>
      <c r="AU8">
        <v>349</v>
      </c>
      <c r="AX8">
        <v>0</v>
      </c>
      <c r="AY8">
        <v>349</v>
      </c>
    </row>
    <row r="9" spans="1:51" x14ac:dyDescent="0.3">
      <c r="A9" s="1">
        <v>44569</v>
      </c>
      <c r="B9">
        <v>27.6</v>
      </c>
      <c r="C9">
        <f>2*6.3</f>
        <v>12.6</v>
      </c>
      <c r="D9">
        <v>9.4</v>
      </c>
      <c r="E9">
        <f t="shared" si="0"/>
        <v>4</v>
      </c>
      <c r="F9">
        <f t="shared" si="1"/>
        <v>4</v>
      </c>
      <c r="G9">
        <f t="shared" si="2"/>
        <v>0</v>
      </c>
      <c r="V9" s="1">
        <v>44569</v>
      </c>
      <c r="W9">
        <v>27.6</v>
      </c>
      <c r="X9">
        <f>2*6.3</f>
        <v>12.6</v>
      </c>
      <c r="Y9">
        <v>9.4</v>
      </c>
      <c r="Z9">
        <v>268</v>
      </c>
      <c r="AA9">
        <v>211</v>
      </c>
      <c r="AD9">
        <v>27.6</v>
      </c>
      <c r="AE9">
        <v>268</v>
      </c>
      <c r="AH9">
        <f>2*6.3</f>
        <v>12.6</v>
      </c>
      <c r="AI9">
        <v>268</v>
      </c>
      <c r="AL9">
        <v>9.4</v>
      </c>
      <c r="AM9">
        <v>268</v>
      </c>
      <c r="AP9">
        <v>27.6</v>
      </c>
      <c r="AQ9">
        <v>211</v>
      </c>
      <c r="AT9">
        <f>2*6.3</f>
        <v>12.6</v>
      </c>
      <c r="AU9">
        <v>211</v>
      </c>
      <c r="AX9">
        <v>9.4</v>
      </c>
      <c r="AY9">
        <v>211</v>
      </c>
    </row>
    <row r="10" spans="1:51" x14ac:dyDescent="0.3">
      <c r="A10" s="1">
        <v>44570</v>
      </c>
      <c r="B10">
        <v>30.3</v>
      </c>
      <c r="C10">
        <v>20</v>
      </c>
      <c r="D10">
        <v>0.6</v>
      </c>
      <c r="E10">
        <f t="shared" si="0"/>
        <v>4</v>
      </c>
      <c r="F10">
        <f t="shared" si="1"/>
        <v>4</v>
      </c>
      <c r="G10">
        <f t="shared" si="2"/>
        <v>0</v>
      </c>
      <c r="V10" s="1">
        <v>44570</v>
      </c>
      <c r="W10">
        <v>30.3</v>
      </c>
      <c r="X10">
        <v>20</v>
      </c>
      <c r="Y10">
        <v>0.6</v>
      </c>
      <c r="Z10">
        <v>640</v>
      </c>
      <c r="AA10">
        <v>879</v>
      </c>
      <c r="AD10">
        <v>30.3</v>
      </c>
      <c r="AE10">
        <v>640</v>
      </c>
      <c r="AH10">
        <v>20</v>
      </c>
      <c r="AI10">
        <v>640</v>
      </c>
      <c r="AL10">
        <v>0.6</v>
      </c>
      <c r="AM10">
        <v>640</v>
      </c>
      <c r="AP10">
        <v>30.3</v>
      </c>
      <c r="AQ10">
        <v>879</v>
      </c>
      <c r="AT10">
        <v>20</v>
      </c>
      <c r="AU10">
        <v>879</v>
      </c>
      <c r="AX10">
        <v>0.6</v>
      </c>
      <c r="AY10">
        <v>879</v>
      </c>
    </row>
    <row r="11" spans="1:51" x14ac:dyDescent="0.3">
      <c r="A11" s="1">
        <v>44571</v>
      </c>
      <c r="B11">
        <v>30.4</v>
      </c>
      <c r="C11">
        <v>27</v>
      </c>
      <c r="D11">
        <v>0</v>
      </c>
      <c r="E11">
        <f t="shared" si="0"/>
        <v>4</v>
      </c>
      <c r="F11">
        <f t="shared" si="1"/>
        <v>4</v>
      </c>
      <c r="G11">
        <f t="shared" si="2"/>
        <v>0</v>
      </c>
      <c r="V11" s="1">
        <v>44571</v>
      </c>
      <c r="W11">
        <v>30.4</v>
      </c>
      <c r="X11">
        <v>27</v>
      </c>
      <c r="Y11">
        <v>0</v>
      </c>
      <c r="Z11">
        <v>480</v>
      </c>
      <c r="AA11">
        <v>515</v>
      </c>
      <c r="AD11">
        <v>30.4</v>
      </c>
      <c r="AE11">
        <v>480</v>
      </c>
      <c r="AH11">
        <v>27</v>
      </c>
      <c r="AI11">
        <v>480</v>
      </c>
      <c r="AL11">
        <v>0</v>
      </c>
      <c r="AM11">
        <v>480</v>
      </c>
      <c r="AP11">
        <v>30.4</v>
      </c>
      <c r="AQ11">
        <v>515</v>
      </c>
      <c r="AT11">
        <v>27</v>
      </c>
      <c r="AU11">
        <v>515</v>
      </c>
      <c r="AX11">
        <v>0</v>
      </c>
      <c r="AY11">
        <v>515</v>
      </c>
    </row>
    <row r="12" spans="1:51" x14ac:dyDescent="0.3">
      <c r="A12" s="1">
        <v>44572</v>
      </c>
      <c r="B12">
        <v>29.8</v>
      </c>
      <c r="C12">
        <v>25.5</v>
      </c>
      <c r="D12">
        <v>0.2</v>
      </c>
      <c r="E12">
        <f t="shared" si="0"/>
        <v>4</v>
      </c>
      <c r="F12">
        <f t="shared" si="1"/>
        <v>4</v>
      </c>
      <c r="G12">
        <f t="shared" si="2"/>
        <v>0</v>
      </c>
      <c r="V12" s="1">
        <v>44572</v>
      </c>
      <c r="W12">
        <v>29.8</v>
      </c>
      <c r="X12">
        <v>25.5</v>
      </c>
      <c r="Y12">
        <v>0.2</v>
      </c>
      <c r="Z12">
        <v>496</v>
      </c>
      <c r="AA12">
        <v>604</v>
      </c>
      <c r="AD12">
        <v>29.8</v>
      </c>
      <c r="AE12">
        <v>496</v>
      </c>
      <c r="AH12">
        <v>25.5</v>
      </c>
      <c r="AI12">
        <v>496</v>
      </c>
      <c r="AL12">
        <v>0.2</v>
      </c>
      <c r="AM12">
        <v>496</v>
      </c>
      <c r="AP12">
        <v>29.8</v>
      </c>
      <c r="AQ12">
        <v>604</v>
      </c>
      <c r="AT12">
        <v>25.5</v>
      </c>
      <c r="AU12">
        <v>604</v>
      </c>
      <c r="AX12">
        <v>0.2</v>
      </c>
      <c r="AY12">
        <v>604</v>
      </c>
    </row>
    <row r="13" spans="1:51" x14ac:dyDescent="0.3">
      <c r="A13" s="1">
        <v>44573</v>
      </c>
      <c r="B13">
        <v>29.7</v>
      </c>
      <c r="C13">
        <v>24.5</v>
      </c>
      <c r="D13">
        <v>0</v>
      </c>
      <c r="E13">
        <f t="shared" si="0"/>
        <v>4</v>
      </c>
      <c r="F13">
        <f t="shared" si="1"/>
        <v>4</v>
      </c>
      <c r="G13">
        <f t="shared" si="2"/>
        <v>0</v>
      </c>
      <c r="V13" s="1">
        <v>44573</v>
      </c>
      <c r="W13">
        <v>29.7</v>
      </c>
      <c r="X13">
        <v>24.5</v>
      </c>
      <c r="Y13">
        <v>0</v>
      </c>
      <c r="Z13">
        <v>558</v>
      </c>
      <c r="AA13">
        <v>707</v>
      </c>
      <c r="AD13">
        <v>29.7</v>
      </c>
      <c r="AE13">
        <v>558</v>
      </c>
      <c r="AH13">
        <v>24.5</v>
      </c>
      <c r="AI13">
        <v>558</v>
      </c>
      <c r="AL13">
        <v>0</v>
      </c>
      <c r="AM13">
        <v>558</v>
      </c>
      <c r="AP13">
        <v>29.7</v>
      </c>
      <c r="AQ13">
        <v>707</v>
      </c>
      <c r="AT13">
        <v>24.5</v>
      </c>
      <c r="AU13">
        <v>707</v>
      </c>
      <c r="AX13">
        <v>0</v>
      </c>
      <c r="AY13">
        <v>707</v>
      </c>
    </row>
    <row r="14" spans="1:51" x14ac:dyDescent="0.3">
      <c r="A14" s="1">
        <v>44574</v>
      </c>
      <c r="B14">
        <v>29.8</v>
      </c>
      <c r="C14">
        <v>27.3</v>
      </c>
      <c r="D14">
        <v>0.2</v>
      </c>
      <c r="E14">
        <f t="shared" si="0"/>
        <v>4</v>
      </c>
      <c r="F14">
        <f t="shared" si="1"/>
        <v>4</v>
      </c>
      <c r="G14">
        <f t="shared" si="2"/>
        <v>0</v>
      </c>
      <c r="V14" s="1">
        <v>44574</v>
      </c>
      <c r="W14">
        <v>29.8</v>
      </c>
      <c r="X14">
        <v>27.3</v>
      </c>
      <c r="Y14">
        <v>0.2</v>
      </c>
      <c r="Z14">
        <v>582</v>
      </c>
      <c r="AA14">
        <v>668</v>
      </c>
      <c r="AD14">
        <v>29.8</v>
      </c>
      <c r="AE14">
        <v>582</v>
      </c>
      <c r="AH14">
        <v>27.3</v>
      </c>
      <c r="AI14">
        <v>582</v>
      </c>
      <c r="AL14">
        <v>0.2</v>
      </c>
      <c r="AM14">
        <v>582</v>
      </c>
      <c r="AP14">
        <v>29.8</v>
      </c>
      <c r="AQ14">
        <v>668</v>
      </c>
      <c r="AT14">
        <v>27.3</v>
      </c>
      <c r="AU14">
        <v>668</v>
      </c>
      <c r="AX14">
        <v>0.2</v>
      </c>
      <c r="AY14">
        <v>668</v>
      </c>
    </row>
    <row r="15" spans="1:51" x14ac:dyDescent="0.3">
      <c r="A15" s="1">
        <v>44575</v>
      </c>
      <c r="B15">
        <v>29.6</v>
      </c>
      <c r="C15">
        <v>26.2</v>
      </c>
      <c r="D15">
        <v>0</v>
      </c>
      <c r="E15">
        <f t="shared" si="0"/>
        <v>4</v>
      </c>
      <c r="F15">
        <f t="shared" si="1"/>
        <v>4</v>
      </c>
      <c r="G15">
        <f t="shared" si="2"/>
        <v>0</v>
      </c>
      <c r="V15" s="1">
        <v>44575</v>
      </c>
      <c r="W15">
        <v>29.6</v>
      </c>
      <c r="X15">
        <v>26.2</v>
      </c>
      <c r="Y15">
        <v>0</v>
      </c>
      <c r="Z15">
        <v>641</v>
      </c>
      <c r="AA15">
        <v>772</v>
      </c>
      <c r="AD15">
        <v>29.6</v>
      </c>
      <c r="AE15">
        <v>641</v>
      </c>
      <c r="AH15">
        <v>26.2</v>
      </c>
      <c r="AI15">
        <v>641</v>
      </c>
      <c r="AL15">
        <v>0</v>
      </c>
      <c r="AM15">
        <v>641</v>
      </c>
      <c r="AP15">
        <v>29.6</v>
      </c>
      <c r="AQ15">
        <v>772</v>
      </c>
      <c r="AT15">
        <v>26.2</v>
      </c>
      <c r="AU15">
        <v>772</v>
      </c>
      <c r="AX15">
        <v>0</v>
      </c>
      <c r="AY15">
        <v>772</v>
      </c>
    </row>
    <row r="16" spans="1:51" x14ac:dyDescent="0.3">
      <c r="A16" s="1">
        <v>44576</v>
      </c>
      <c r="B16">
        <v>30.7</v>
      </c>
      <c r="C16">
        <v>28.4</v>
      </c>
      <c r="D16">
        <v>0</v>
      </c>
      <c r="E16">
        <f t="shared" si="0"/>
        <v>4</v>
      </c>
      <c r="F16">
        <f t="shared" si="1"/>
        <v>4</v>
      </c>
      <c r="G16">
        <f t="shared" si="2"/>
        <v>0</v>
      </c>
      <c r="V16" s="1">
        <v>44576</v>
      </c>
      <c r="W16">
        <v>30.7</v>
      </c>
      <c r="X16">
        <v>28.4</v>
      </c>
      <c r="Y16">
        <v>0</v>
      </c>
      <c r="Z16">
        <v>552</v>
      </c>
      <c r="AA16">
        <v>785</v>
      </c>
      <c r="AD16">
        <v>30.7</v>
      </c>
      <c r="AE16">
        <v>552</v>
      </c>
      <c r="AH16">
        <v>28.4</v>
      </c>
      <c r="AI16">
        <v>552</v>
      </c>
      <c r="AL16">
        <v>0</v>
      </c>
      <c r="AM16">
        <v>552</v>
      </c>
      <c r="AP16">
        <v>30.7</v>
      </c>
      <c r="AQ16">
        <v>785</v>
      </c>
      <c r="AT16">
        <v>28.4</v>
      </c>
      <c r="AU16">
        <v>785</v>
      </c>
      <c r="AX16">
        <v>0</v>
      </c>
      <c r="AY16">
        <v>785</v>
      </c>
    </row>
    <row r="17" spans="1:51" x14ac:dyDescent="0.3">
      <c r="A17" s="1">
        <v>44577</v>
      </c>
      <c r="B17">
        <v>31.4</v>
      </c>
      <c r="C17">
        <v>29.4</v>
      </c>
      <c r="D17">
        <v>4.2</v>
      </c>
      <c r="E17">
        <f t="shared" si="0"/>
        <v>4</v>
      </c>
      <c r="F17">
        <f t="shared" si="1"/>
        <v>4</v>
      </c>
      <c r="G17">
        <f t="shared" si="2"/>
        <v>0</v>
      </c>
      <c r="V17" s="1">
        <v>44577</v>
      </c>
      <c r="W17">
        <v>31.4</v>
      </c>
      <c r="X17">
        <v>29.4</v>
      </c>
      <c r="Y17">
        <v>4.2</v>
      </c>
      <c r="Z17">
        <v>483</v>
      </c>
      <c r="AA17">
        <v>730</v>
      </c>
      <c r="AD17">
        <v>31.4</v>
      </c>
      <c r="AE17">
        <v>483</v>
      </c>
      <c r="AH17">
        <v>29.4</v>
      </c>
      <c r="AI17">
        <v>483</v>
      </c>
      <c r="AL17">
        <v>4.2</v>
      </c>
      <c r="AM17">
        <v>483</v>
      </c>
      <c r="AP17">
        <v>31.4</v>
      </c>
      <c r="AQ17">
        <v>730</v>
      </c>
      <c r="AT17">
        <v>29.4</v>
      </c>
      <c r="AU17">
        <v>730</v>
      </c>
      <c r="AX17">
        <v>4.2</v>
      </c>
      <c r="AY17">
        <v>730</v>
      </c>
    </row>
    <row r="18" spans="1:51" x14ac:dyDescent="0.3">
      <c r="A18" s="1">
        <v>44578</v>
      </c>
      <c r="B18">
        <v>32.4</v>
      </c>
      <c r="C18">
        <v>27.3</v>
      </c>
      <c r="D18">
        <v>0</v>
      </c>
      <c r="E18">
        <f t="shared" si="0"/>
        <v>4</v>
      </c>
      <c r="F18">
        <f t="shared" si="1"/>
        <v>4</v>
      </c>
      <c r="G18">
        <f t="shared" si="2"/>
        <v>0</v>
      </c>
      <c r="V18" s="1">
        <v>44578</v>
      </c>
      <c r="W18">
        <v>32.4</v>
      </c>
      <c r="X18">
        <v>27.3</v>
      </c>
      <c r="Y18">
        <v>0</v>
      </c>
      <c r="Z18">
        <v>348</v>
      </c>
      <c r="AA18">
        <v>526</v>
      </c>
      <c r="AD18">
        <v>32.4</v>
      </c>
      <c r="AE18">
        <v>348</v>
      </c>
      <c r="AH18">
        <v>27.3</v>
      </c>
      <c r="AI18">
        <v>348</v>
      </c>
      <c r="AL18">
        <v>0</v>
      </c>
      <c r="AM18">
        <v>348</v>
      </c>
      <c r="AP18">
        <v>32.4</v>
      </c>
      <c r="AQ18">
        <v>526</v>
      </c>
      <c r="AT18">
        <v>27.3</v>
      </c>
      <c r="AU18">
        <v>526</v>
      </c>
      <c r="AX18">
        <v>0</v>
      </c>
      <c r="AY18">
        <v>526</v>
      </c>
    </row>
    <row r="19" spans="1:51" x14ac:dyDescent="0.3">
      <c r="A19" s="1">
        <v>44579</v>
      </c>
      <c r="B19">
        <v>31.5</v>
      </c>
      <c r="C19">
        <v>26.4</v>
      </c>
      <c r="D19">
        <v>0</v>
      </c>
      <c r="E19">
        <f t="shared" si="0"/>
        <v>4</v>
      </c>
      <c r="F19">
        <f t="shared" si="1"/>
        <v>4</v>
      </c>
      <c r="G19">
        <f t="shared" si="2"/>
        <v>0</v>
      </c>
      <c r="V19" s="1">
        <v>44579</v>
      </c>
      <c r="W19">
        <v>31.5</v>
      </c>
      <c r="X19">
        <v>26.4</v>
      </c>
      <c r="Y19">
        <v>0</v>
      </c>
      <c r="Z19">
        <v>486</v>
      </c>
      <c r="AA19">
        <v>681</v>
      </c>
      <c r="AD19">
        <v>31.5</v>
      </c>
      <c r="AE19">
        <v>486</v>
      </c>
      <c r="AH19">
        <v>26.4</v>
      </c>
      <c r="AI19">
        <v>486</v>
      </c>
      <c r="AL19">
        <v>0</v>
      </c>
      <c r="AM19">
        <v>486</v>
      </c>
      <c r="AP19">
        <v>31.5</v>
      </c>
      <c r="AQ19">
        <v>681</v>
      </c>
      <c r="AT19">
        <v>26.4</v>
      </c>
      <c r="AU19">
        <v>681</v>
      </c>
      <c r="AX19">
        <v>0</v>
      </c>
      <c r="AY19">
        <v>681</v>
      </c>
    </row>
    <row r="20" spans="1:51" x14ac:dyDescent="0.3">
      <c r="A20" s="1">
        <v>44580</v>
      </c>
      <c r="B20">
        <v>32.4</v>
      </c>
      <c r="C20">
        <v>24.3</v>
      </c>
      <c r="D20">
        <v>0</v>
      </c>
      <c r="E20">
        <f t="shared" si="0"/>
        <v>4</v>
      </c>
      <c r="F20">
        <f t="shared" si="1"/>
        <v>4</v>
      </c>
      <c r="G20">
        <f t="shared" si="2"/>
        <v>0</v>
      </c>
      <c r="V20" s="1">
        <v>44580</v>
      </c>
      <c r="W20">
        <v>32.4</v>
      </c>
      <c r="X20">
        <v>24.3</v>
      </c>
      <c r="Y20">
        <v>0</v>
      </c>
      <c r="Z20">
        <v>388</v>
      </c>
      <c r="AA20">
        <v>688</v>
      </c>
      <c r="AD20">
        <v>32.4</v>
      </c>
      <c r="AE20">
        <v>388</v>
      </c>
      <c r="AH20">
        <v>24.3</v>
      </c>
      <c r="AI20">
        <v>388</v>
      </c>
      <c r="AL20">
        <v>0</v>
      </c>
      <c r="AM20">
        <v>388</v>
      </c>
      <c r="AP20">
        <v>32.4</v>
      </c>
      <c r="AQ20">
        <v>688</v>
      </c>
      <c r="AT20">
        <v>24.3</v>
      </c>
      <c r="AU20">
        <v>688</v>
      </c>
      <c r="AX20">
        <v>0</v>
      </c>
      <c r="AY20">
        <v>688</v>
      </c>
    </row>
    <row r="21" spans="1:51" x14ac:dyDescent="0.3">
      <c r="A21" s="1">
        <v>44581</v>
      </c>
      <c r="B21">
        <v>26.7</v>
      </c>
      <c r="C21">
        <v>12.8</v>
      </c>
      <c r="D21">
        <v>10.8</v>
      </c>
      <c r="E21">
        <f t="shared" si="0"/>
        <v>4</v>
      </c>
      <c r="F21">
        <f t="shared" si="1"/>
        <v>4</v>
      </c>
      <c r="G21">
        <f t="shared" si="2"/>
        <v>0</v>
      </c>
      <c r="V21" s="1">
        <v>44581</v>
      </c>
      <c r="W21">
        <v>26.7</v>
      </c>
      <c r="X21">
        <v>12.8</v>
      </c>
      <c r="Y21">
        <v>10.8</v>
      </c>
      <c r="Z21">
        <v>200</v>
      </c>
      <c r="AA21">
        <v>121</v>
      </c>
      <c r="AD21">
        <v>26.7</v>
      </c>
      <c r="AE21">
        <v>200</v>
      </c>
      <c r="AH21">
        <v>12.8</v>
      </c>
      <c r="AI21">
        <v>200</v>
      </c>
      <c r="AL21">
        <v>10.8</v>
      </c>
      <c r="AM21">
        <v>200</v>
      </c>
      <c r="AP21">
        <v>26.7</v>
      </c>
      <c r="AQ21">
        <v>121</v>
      </c>
      <c r="AT21">
        <v>12.8</v>
      </c>
      <c r="AU21">
        <v>121</v>
      </c>
      <c r="AX21">
        <v>10.8</v>
      </c>
      <c r="AY21">
        <v>121</v>
      </c>
    </row>
    <row r="22" spans="1:51" x14ac:dyDescent="0.3">
      <c r="A22" s="1">
        <v>44582</v>
      </c>
      <c r="B22">
        <v>28</v>
      </c>
      <c r="C22">
        <v>22.1</v>
      </c>
      <c r="D22">
        <v>19.2</v>
      </c>
      <c r="E22">
        <f t="shared" si="0"/>
        <v>4</v>
      </c>
      <c r="F22">
        <f t="shared" si="1"/>
        <v>4</v>
      </c>
      <c r="G22">
        <f t="shared" si="2"/>
        <v>0</v>
      </c>
      <c r="V22" s="1">
        <v>44582</v>
      </c>
      <c r="W22">
        <v>28</v>
      </c>
      <c r="X22">
        <v>22.1</v>
      </c>
      <c r="Y22">
        <v>19.2</v>
      </c>
      <c r="Z22">
        <v>697</v>
      </c>
      <c r="AA22">
        <v>728</v>
      </c>
      <c r="AD22">
        <v>28</v>
      </c>
      <c r="AE22">
        <v>697</v>
      </c>
      <c r="AH22">
        <v>22.1</v>
      </c>
      <c r="AI22">
        <v>697</v>
      </c>
      <c r="AL22">
        <v>19.2</v>
      </c>
      <c r="AM22">
        <v>697</v>
      </c>
      <c r="AP22">
        <v>28</v>
      </c>
      <c r="AQ22">
        <v>728</v>
      </c>
      <c r="AT22">
        <v>22.1</v>
      </c>
      <c r="AU22">
        <v>728</v>
      </c>
      <c r="AX22">
        <v>19.2</v>
      </c>
      <c r="AY22">
        <v>728</v>
      </c>
    </row>
    <row r="23" spans="1:51" x14ac:dyDescent="0.3">
      <c r="A23" s="1">
        <v>44583</v>
      </c>
      <c r="B23">
        <v>27.7</v>
      </c>
      <c r="C23">
        <v>20</v>
      </c>
      <c r="D23">
        <v>1.6</v>
      </c>
      <c r="E23">
        <f t="shared" si="0"/>
        <v>4</v>
      </c>
      <c r="F23">
        <f t="shared" si="1"/>
        <v>4</v>
      </c>
      <c r="G23">
        <f t="shared" si="2"/>
        <v>0</v>
      </c>
      <c r="V23" s="1">
        <v>44583</v>
      </c>
      <c r="W23">
        <v>27.7</v>
      </c>
      <c r="X23">
        <v>20</v>
      </c>
      <c r="Y23">
        <v>1.6</v>
      </c>
      <c r="Z23">
        <v>691</v>
      </c>
      <c r="AA23">
        <v>740</v>
      </c>
      <c r="AD23">
        <v>27.7</v>
      </c>
      <c r="AE23">
        <v>691</v>
      </c>
      <c r="AH23">
        <v>20</v>
      </c>
      <c r="AI23">
        <v>691</v>
      </c>
      <c r="AL23">
        <v>1.6</v>
      </c>
      <c r="AM23">
        <v>691</v>
      </c>
      <c r="AP23">
        <v>27.7</v>
      </c>
      <c r="AQ23">
        <v>740</v>
      </c>
      <c r="AT23">
        <v>20</v>
      </c>
      <c r="AU23">
        <v>740</v>
      </c>
      <c r="AX23">
        <v>1.6</v>
      </c>
      <c r="AY23">
        <v>740</v>
      </c>
    </row>
    <row r="24" spans="1:51" x14ac:dyDescent="0.3">
      <c r="A24" s="1">
        <v>44584</v>
      </c>
      <c r="B24">
        <v>28.3</v>
      </c>
      <c r="C24">
        <v>21.6</v>
      </c>
      <c r="D24">
        <v>2</v>
      </c>
      <c r="E24">
        <f t="shared" si="0"/>
        <v>4</v>
      </c>
      <c r="F24">
        <f t="shared" si="1"/>
        <v>4</v>
      </c>
      <c r="G24">
        <f t="shared" si="2"/>
        <v>0</v>
      </c>
      <c r="V24" s="1">
        <v>44584</v>
      </c>
      <c r="W24">
        <v>28.3</v>
      </c>
      <c r="X24">
        <v>21.6</v>
      </c>
      <c r="Y24">
        <v>2</v>
      </c>
      <c r="Z24">
        <v>854</v>
      </c>
      <c r="AA24">
        <v>1058</v>
      </c>
      <c r="AD24">
        <v>28.3</v>
      </c>
      <c r="AE24">
        <v>854</v>
      </c>
      <c r="AH24">
        <v>21.6</v>
      </c>
      <c r="AI24">
        <v>854</v>
      </c>
      <c r="AL24">
        <v>2</v>
      </c>
      <c r="AM24">
        <v>854</v>
      </c>
      <c r="AP24">
        <v>28.3</v>
      </c>
      <c r="AQ24">
        <v>1058</v>
      </c>
      <c r="AT24">
        <v>21.6</v>
      </c>
      <c r="AU24">
        <v>1058</v>
      </c>
      <c r="AX24">
        <v>2</v>
      </c>
      <c r="AY24">
        <v>1058</v>
      </c>
    </row>
    <row r="25" spans="1:51" x14ac:dyDescent="0.3">
      <c r="A25" s="1">
        <v>44585</v>
      </c>
      <c r="B25">
        <v>29.8</v>
      </c>
      <c r="C25">
        <v>23.2</v>
      </c>
      <c r="D25">
        <v>0</v>
      </c>
      <c r="E25">
        <f t="shared" si="0"/>
        <v>4</v>
      </c>
      <c r="F25">
        <f t="shared" si="1"/>
        <v>4</v>
      </c>
      <c r="G25">
        <f t="shared" si="2"/>
        <v>0</v>
      </c>
      <c r="V25" s="1">
        <v>44585</v>
      </c>
      <c r="W25">
        <v>29.8</v>
      </c>
      <c r="X25">
        <v>23.2</v>
      </c>
      <c r="Y25">
        <v>0</v>
      </c>
      <c r="Z25">
        <v>610</v>
      </c>
      <c r="AA25">
        <v>540</v>
      </c>
      <c r="AD25">
        <v>29.8</v>
      </c>
      <c r="AE25">
        <v>610</v>
      </c>
      <c r="AH25">
        <v>23.2</v>
      </c>
      <c r="AI25">
        <v>610</v>
      </c>
      <c r="AL25">
        <v>0</v>
      </c>
      <c r="AM25">
        <v>610</v>
      </c>
      <c r="AP25">
        <v>29.8</v>
      </c>
      <c r="AQ25">
        <v>540</v>
      </c>
      <c r="AT25">
        <v>23.2</v>
      </c>
      <c r="AU25">
        <v>540</v>
      </c>
      <c r="AX25">
        <v>0</v>
      </c>
      <c r="AY25">
        <v>540</v>
      </c>
    </row>
    <row r="26" spans="1:51" x14ac:dyDescent="0.3">
      <c r="A26" s="1">
        <v>44586</v>
      </c>
      <c r="B26">
        <v>30.5</v>
      </c>
      <c r="C26">
        <v>20.8</v>
      </c>
      <c r="D26">
        <v>0</v>
      </c>
      <c r="E26">
        <f t="shared" si="0"/>
        <v>4</v>
      </c>
      <c r="F26">
        <f t="shared" si="1"/>
        <v>4</v>
      </c>
      <c r="G26">
        <f t="shared" si="2"/>
        <v>0</v>
      </c>
      <c r="V26" s="1">
        <v>44586</v>
      </c>
      <c r="W26">
        <v>30.5</v>
      </c>
      <c r="X26">
        <v>20.8</v>
      </c>
      <c r="Y26">
        <v>0</v>
      </c>
      <c r="Z26">
        <v>572</v>
      </c>
      <c r="AA26">
        <v>712</v>
      </c>
      <c r="AD26">
        <v>30.5</v>
      </c>
      <c r="AE26">
        <v>572</v>
      </c>
      <c r="AH26">
        <v>20.8</v>
      </c>
      <c r="AI26">
        <v>572</v>
      </c>
      <c r="AL26">
        <v>0</v>
      </c>
      <c r="AM26">
        <v>572</v>
      </c>
      <c r="AP26">
        <v>30.5</v>
      </c>
      <c r="AQ26">
        <v>712</v>
      </c>
      <c r="AT26">
        <v>20.8</v>
      </c>
      <c r="AU26">
        <v>712</v>
      </c>
      <c r="AX26">
        <v>0</v>
      </c>
      <c r="AY26">
        <v>712</v>
      </c>
    </row>
    <row r="27" spans="1:51" x14ac:dyDescent="0.3">
      <c r="A27" s="1">
        <v>44587</v>
      </c>
      <c r="B27">
        <v>26.6</v>
      </c>
      <c r="C27">
        <f>2*6.5</f>
        <v>13</v>
      </c>
      <c r="D27">
        <v>2</v>
      </c>
      <c r="E27">
        <f t="shared" si="0"/>
        <v>4</v>
      </c>
      <c r="F27">
        <f t="shared" si="1"/>
        <v>4</v>
      </c>
      <c r="G27">
        <f t="shared" si="2"/>
        <v>0</v>
      </c>
      <c r="V27" s="1">
        <v>44587</v>
      </c>
      <c r="W27">
        <v>26.6</v>
      </c>
      <c r="X27">
        <f>2*6.5</f>
        <v>13</v>
      </c>
      <c r="Y27">
        <v>2</v>
      </c>
      <c r="Z27">
        <v>485</v>
      </c>
      <c r="AA27">
        <v>716</v>
      </c>
      <c r="AD27">
        <v>26.6</v>
      </c>
      <c r="AE27">
        <v>485</v>
      </c>
      <c r="AH27">
        <f>2*6.5</f>
        <v>13</v>
      </c>
      <c r="AI27">
        <v>485</v>
      </c>
      <c r="AL27">
        <v>2</v>
      </c>
      <c r="AM27">
        <v>485</v>
      </c>
      <c r="AP27">
        <v>26.6</v>
      </c>
      <c r="AQ27">
        <v>716</v>
      </c>
      <c r="AT27">
        <f>2*6.5</f>
        <v>13</v>
      </c>
      <c r="AU27">
        <v>716</v>
      </c>
      <c r="AX27">
        <v>2</v>
      </c>
      <c r="AY27">
        <v>716</v>
      </c>
    </row>
    <row r="28" spans="1:51" x14ac:dyDescent="0.3">
      <c r="A28" s="1">
        <v>44588</v>
      </c>
      <c r="B28">
        <v>28.4</v>
      </c>
      <c r="C28">
        <v>16.3</v>
      </c>
      <c r="D28">
        <v>15.2</v>
      </c>
      <c r="E28">
        <f t="shared" si="0"/>
        <v>4</v>
      </c>
      <c r="F28">
        <f t="shared" si="1"/>
        <v>4</v>
      </c>
      <c r="G28">
        <f t="shared" si="2"/>
        <v>0</v>
      </c>
      <c r="V28" s="1">
        <v>44588</v>
      </c>
      <c r="W28">
        <v>28.4</v>
      </c>
      <c r="X28">
        <v>16.3</v>
      </c>
      <c r="Y28">
        <v>15.2</v>
      </c>
      <c r="Z28">
        <v>573</v>
      </c>
      <c r="AA28">
        <v>547</v>
      </c>
      <c r="AD28">
        <v>28.4</v>
      </c>
      <c r="AE28">
        <v>573</v>
      </c>
      <c r="AH28">
        <v>16.3</v>
      </c>
      <c r="AI28">
        <v>573</v>
      </c>
      <c r="AL28">
        <v>15.2</v>
      </c>
      <c r="AM28">
        <v>573</v>
      </c>
      <c r="AP28">
        <v>28.4</v>
      </c>
      <c r="AQ28">
        <v>547</v>
      </c>
      <c r="AT28">
        <v>16.3</v>
      </c>
      <c r="AU28">
        <v>547</v>
      </c>
      <c r="AX28">
        <v>15.2</v>
      </c>
      <c r="AY28">
        <v>547</v>
      </c>
    </row>
    <row r="29" spans="1:51" x14ac:dyDescent="0.3">
      <c r="A29" s="1">
        <v>44589</v>
      </c>
      <c r="B29">
        <v>30.1</v>
      </c>
      <c r="C29">
        <v>22</v>
      </c>
      <c r="D29">
        <v>3</v>
      </c>
      <c r="E29">
        <f t="shared" si="0"/>
        <v>4</v>
      </c>
      <c r="F29">
        <f t="shared" si="1"/>
        <v>4</v>
      </c>
      <c r="G29">
        <f t="shared" si="2"/>
        <v>0</v>
      </c>
      <c r="V29" s="1">
        <v>44589</v>
      </c>
      <c r="W29">
        <v>30.1</v>
      </c>
      <c r="X29">
        <v>22</v>
      </c>
      <c r="Y29">
        <v>3</v>
      </c>
      <c r="Z29">
        <v>407</v>
      </c>
      <c r="AA29">
        <v>410</v>
      </c>
      <c r="AD29">
        <v>30.1</v>
      </c>
      <c r="AE29">
        <v>407</v>
      </c>
      <c r="AH29">
        <v>22</v>
      </c>
      <c r="AI29">
        <v>407</v>
      </c>
      <c r="AL29">
        <v>3</v>
      </c>
      <c r="AM29">
        <v>407</v>
      </c>
      <c r="AP29">
        <v>30.1</v>
      </c>
      <c r="AQ29">
        <v>410</v>
      </c>
      <c r="AT29">
        <v>22</v>
      </c>
      <c r="AU29">
        <v>410</v>
      </c>
      <c r="AX29">
        <v>3</v>
      </c>
      <c r="AY29">
        <v>410</v>
      </c>
    </row>
    <row r="30" spans="1:51" x14ac:dyDescent="0.3">
      <c r="A30" s="1">
        <v>44590</v>
      </c>
      <c r="B30">
        <v>31.2</v>
      </c>
      <c r="C30">
        <v>24.2</v>
      </c>
      <c r="D30">
        <v>0.4</v>
      </c>
      <c r="E30">
        <f t="shared" si="0"/>
        <v>4</v>
      </c>
      <c r="F30">
        <f t="shared" si="1"/>
        <v>4</v>
      </c>
      <c r="G30">
        <f t="shared" si="2"/>
        <v>0</v>
      </c>
      <c r="V30" s="1">
        <v>44590</v>
      </c>
      <c r="W30">
        <v>31.2</v>
      </c>
      <c r="X30">
        <v>24.2</v>
      </c>
      <c r="Y30">
        <v>0.4</v>
      </c>
      <c r="Z30">
        <v>482</v>
      </c>
      <c r="AA30">
        <v>774</v>
      </c>
      <c r="AD30">
        <v>31.2</v>
      </c>
      <c r="AE30">
        <v>482</v>
      </c>
      <c r="AH30">
        <v>24.2</v>
      </c>
      <c r="AI30">
        <v>482</v>
      </c>
      <c r="AL30">
        <v>0.4</v>
      </c>
      <c r="AM30">
        <v>482</v>
      </c>
      <c r="AP30">
        <v>31.2</v>
      </c>
      <c r="AQ30">
        <v>774</v>
      </c>
      <c r="AT30">
        <v>24.2</v>
      </c>
      <c r="AU30">
        <v>774</v>
      </c>
      <c r="AX30">
        <v>0.4</v>
      </c>
      <c r="AY30">
        <v>774</v>
      </c>
    </row>
    <row r="31" spans="1:51" x14ac:dyDescent="0.3">
      <c r="A31" s="1">
        <v>44591</v>
      </c>
      <c r="B31">
        <v>31.6</v>
      </c>
      <c r="C31">
        <v>25.1</v>
      </c>
      <c r="D31">
        <v>0.2</v>
      </c>
      <c r="E31">
        <f t="shared" si="0"/>
        <v>4</v>
      </c>
      <c r="F31">
        <f t="shared" si="1"/>
        <v>4</v>
      </c>
      <c r="G31">
        <f t="shared" si="2"/>
        <v>0</v>
      </c>
      <c r="V31" s="1">
        <v>44591</v>
      </c>
      <c r="W31">
        <v>31.6</v>
      </c>
      <c r="X31">
        <v>25.1</v>
      </c>
      <c r="Y31">
        <v>0.2</v>
      </c>
      <c r="Z31">
        <v>689</v>
      </c>
      <c r="AA31">
        <v>1020</v>
      </c>
      <c r="AD31">
        <v>31.6</v>
      </c>
      <c r="AE31">
        <v>689</v>
      </c>
      <c r="AH31">
        <v>25.1</v>
      </c>
      <c r="AI31">
        <v>689</v>
      </c>
      <c r="AL31">
        <v>0.2</v>
      </c>
      <c r="AM31">
        <v>689</v>
      </c>
      <c r="AP31">
        <v>31.6</v>
      </c>
      <c r="AQ31">
        <v>1020</v>
      </c>
      <c r="AT31">
        <v>25.1</v>
      </c>
      <c r="AU31">
        <v>1020</v>
      </c>
      <c r="AX31">
        <v>0.2</v>
      </c>
      <c r="AY31">
        <v>1020</v>
      </c>
    </row>
    <row r="32" spans="1:51" x14ac:dyDescent="0.3">
      <c r="A32" s="1">
        <v>44592</v>
      </c>
      <c r="B32">
        <v>32</v>
      </c>
      <c r="C32">
        <v>24.2</v>
      </c>
      <c r="D32">
        <v>0</v>
      </c>
      <c r="E32">
        <f t="shared" si="0"/>
        <v>4</v>
      </c>
      <c r="F32">
        <f t="shared" si="1"/>
        <v>4</v>
      </c>
      <c r="G32">
        <f t="shared" si="2"/>
        <v>0</v>
      </c>
      <c r="V32" s="1">
        <v>44592</v>
      </c>
      <c r="W32">
        <v>32</v>
      </c>
      <c r="X32">
        <v>24.2</v>
      </c>
      <c r="Y32">
        <v>0</v>
      </c>
      <c r="Z32">
        <v>538</v>
      </c>
      <c r="AA32">
        <v>496</v>
      </c>
      <c r="AD32">
        <v>32</v>
      </c>
      <c r="AE32">
        <v>538</v>
      </c>
      <c r="AH32">
        <v>24.2</v>
      </c>
      <c r="AI32">
        <v>538</v>
      </c>
      <c r="AL32">
        <v>0</v>
      </c>
      <c r="AM32">
        <v>538</v>
      </c>
      <c r="AP32">
        <v>32</v>
      </c>
      <c r="AQ32">
        <v>496</v>
      </c>
      <c r="AT32">
        <v>24.2</v>
      </c>
      <c r="AU32">
        <v>496</v>
      </c>
      <c r="AX32">
        <v>0</v>
      </c>
      <c r="AY32">
        <v>496</v>
      </c>
    </row>
    <row r="33" spans="1:51" x14ac:dyDescent="0.3">
      <c r="A33" s="1">
        <v>44593</v>
      </c>
      <c r="B33">
        <v>34.700000000000003</v>
      </c>
      <c r="C33">
        <v>26.1</v>
      </c>
      <c r="D33">
        <v>0</v>
      </c>
      <c r="E33">
        <f t="shared" si="0"/>
        <v>4</v>
      </c>
      <c r="F33">
        <f t="shared" si="1"/>
        <v>4</v>
      </c>
      <c r="G33">
        <f t="shared" si="2"/>
        <v>0</v>
      </c>
      <c r="V33" s="1">
        <v>44593</v>
      </c>
      <c r="W33">
        <v>34.700000000000003</v>
      </c>
      <c r="X33">
        <v>26.1</v>
      </c>
      <c r="Y33">
        <v>0</v>
      </c>
      <c r="Z33">
        <v>429</v>
      </c>
      <c r="AA33">
        <v>712</v>
      </c>
      <c r="AD33">
        <v>34.700000000000003</v>
      </c>
      <c r="AE33">
        <v>429</v>
      </c>
      <c r="AH33">
        <v>26.1</v>
      </c>
      <c r="AI33">
        <v>429</v>
      </c>
      <c r="AL33">
        <v>0</v>
      </c>
      <c r="AM33">
        <v>429</v>
      </c>
      <c r="AP33">
        <v>34.700000000000003</v>
      </c>
      <c r="AQ33">
        <v>712</v>
      </c>
      <c r="AT33">
        <v>26.1</v>
      </c>
      <c r="AU33">
        <v>712</v>
      </c>
      <c r="AX33">
        <v>0</v>
      </c>
      <c r="AY33">
        <v>712</v>
      </c>
    </row>
    <row r="34" spans="1:51" x14ac:dyDescent="0.3">
      <c r="A34" s="1">
        <v>44594</v>
      </c>
      <c r="B34">
        <v>35.5</v>
      </c>
      <c r="C34">
        <v>14.9</v>
      </c>
      <c r="D34">
        <v>0</v>
      </c>
      <c r="E34">
        <f t="shared" si="0"/>
        <v>4</v>
      </c>
      <c r="F34">
        <f t="shared" si="1"/>
        <v>4</v>
      </c>
      <c r="G34">
        <f t="shared" si="2"/>
        <v>0</v>
      </c>
      <c r="V34" s="1">
        <v>44594</v>
      </c>
      <c r="W34">
        <v>35.5</v>
      </c>
      <c r="X34">
        <v>14.9</v>
      </c>
      <c r="Y34">
        <v>0</v>
      </c>
      <c r="Z34">
        <v>372</v>
      </c>
      <c r="AA34">
        <v>610</v>
      </c>
      <c r="AD34">
        <v>35.5</v>
      </c>
      <c r="AE34">
        <v>372</v>
      </c>
      <c r="AH34">
        <v>14.9</v>
      </c>
      <c r="AI34">
        <v>372</v>
      </c>
      <c r="AL34">
        <v>0</v>
      </c>
      <c r="AM34">
        <v>372</v>
      </c>
      <c r="AP34">
        <v>35.5</v>
      </c>
      <c r="AQ34">
        <v>610</v>
      </c>
      <c r="AT34">
        <v>14.9</v>
      </c>
      <c r="AU34">
        <v>610</v>
      </c>
      <c r="AX34">
        <v>0</v>
      </c>
      <c r="AY34">
        <v>610</v>
      </c>
    </row>
    <row r="35" spans="1:51" x14ac:dyDescent="0.3">
      <c r="A35" s="1">
        <v>44595</v>
      </c>
      <c r="B35">
        <v>30.7</v>
      </c>
      <c r="C35">
        <v>10.199999999999999</v>
      </c>
      <c r="D35">
        <v>27.2</v>
      </c>
      <c r="E35">
        <f t="shared" si="0"/>
        <v>4</v>
      </c>
      <c r="F35">
        <f t="shared" si="1"/>
        <v>4</v>
      </c>
      <c r="G35">
        <f t="shared" si="2"/>
        <v>0</v>
      </c>
      <c r="V35" s="1">
        <v>44595</v>
      </c>
      <c r="W35">
        <v>30.7</v>
      </c>
      <c r="X35">
        <v>10.199999999999999</v>
      </c>
      <c r="Y35">
        <v>27.2</v>
      </c>
      <c r="Z35">
        <v>202</v>
      </c>
      <c r="AA35">
        <v>284</v>
      </c>
      <c r="AD35">
        <v>30.7</v>
      </c>
      <c r="AE35">
        <v>202</v>
      </c>
      <c r="AH35">
        <v>10.199999999999999</v>
      </c>
      <c r="AI35">
        <v>202</v>
      </c>
      <c r="AL35">
        <v>27.2</v>
      </c>
      <c r="AM35">
        <v>202</v>
      </c>
      <c r="AP35">
        <v>30.7</v>
      </c>
      <c r="AQ35">
        <v>284</v>
      </c>
      <c r="AT35">
        <v>10.199999999999999</v>
      </c>
      <c r="AU35">
        <v>284</v>
      </c>
      <c r="AX35">
        <v>27.2</v>
      </c>
      <c r="AY35">
        <v>284</v>
      </c>
    </row>
    <row r="36" spans="1:51" x14ac:dyDescent="0.3">
      <c r="A36" s="1">
        <v>44596</v>
      </c>
      <c r="B36">
        <v>28.4</v>
      </c>
      <c r="C36">
        <v>21</v>
      </c>
      <c r="D36">
        <v>20.6</v>
      </c>
      <c r="E36">
        <f t="shared" si="0"/>
        <v>4</v>
      </c>
      <c r="F36">
        <f t="shared" si="1"/>
        <v>4</v>
      </c>
      <c r="G36">
        <f t="shared" si="2"/>
        <v>0</v>
      </c>
      <c r="V36" s="1">
        <v>44596</v>
      </c>
      <c r="W36">
        <v>28.4</v>
      </c>
      <c r="X36">
        <v>21</v>
      </c>
      <c r="Y36">
        <v>20.6</v>
      </c>
      <c r="Z36">
        <v>747</v>
      </c>
      <c r="AA36">
        <v>733</v>
      </c>
      <c r="AD36">
        <v>28.4</v>
      </c>
      <c r="AE36">
        <v>747</v>
      </c>
      <c r="AH36">
        <v>21</v>
      </c>
      <c r="AI36">
        <v>747</v>
      </c>
      <c r="AL36">
        <v>20.6</v>
      </c>
      <c r="AM36">
        <v>747</v>
      </c>
      <c r="AP36">
        <v>28.4</v>
      </c>
      <c r="AQ36">
        <v>733</v>
      </c>
      <c r="AT36">
        <v>21</v>
      </c>
      <c r="AU36">
        <v>733</v>
      </c>
      <c r="AX36">
        <v>20.6</v>
      </c>
      <c r="AY36">
        <v>733</v>
      </c>
    </row>
    <row r="37" spans="1:51" x14ac:dyDescent="0.3">
      <c r="A37" s="1">
        <v>44597</v>
      </c>
      <c r="B37">
        <v>27.4</v>
      </c>
      <c r="C37">
        <v>19.8</v>
      </c>
      <c r="D37">
        <v>0</v>
      </c>
      <c r="E37">
        <f t="shared" si="0"/>
        <v>4</v>
      </c>
      <c r="F37">
        <f t="shared" si="1"/>
        <v>4</v>
      </c>
      <c r="G37">
        <f t="shared" si="2"/>
        <v>0</v>
      </c>
      <c r="V37" s="1">
        <v>44597</v>
      </c>
      <c r="W37">
        <v>27.4</v>
      </c>
      <c r="X37">
        <v>19.8</v>
      </c>
      <c r="Y37">
        <v>0</v>
      </c>
      <c r="Z37">
        <v>779</v>
      </c>
      <c r="AA37">
        <v>901</v>
      </c>
      <c r="AD37">
        <v>27.4</v>
      </c>
      <c r="AE37">
        <v>779</v>
      </c>
      <c r="AH37">
        <v>19.8</v>
      </c>
      <c r="AI37">
        <v>779</v>
      </c>
      <c r="AL37">
        <v>0</v>
      </c>
      <c r="AM37">
        <v>779</v>
      </c>
      <c r="AP37">
        <v>27.4</v>
      </c>
      <c r="AQ37">
        <v>901</v>
      </c>
      <c r="AT37">
        <v>19.8</v>
      </c>
      <c r="AU37">
        <v>901</v>
      </c>
      <c r="AX37">
        <v>0</v>
      </c>
      <c r="AY37">
        <v>901</v>
      </c>
    </row>
    <row r="38" spans="1:51" x14ac:dyDescent="0.3">
      <c r="A38" s="1">
        <v>44598</v>
      </c>
      <c r="B38">
        <v>26.9</v>
      </c>
      <c r="C38">
        <v>20.399999999999999</v>
      </c>
      <c r="D38">
        <v>0</v>
      </c>
      <c r="E38">
        <f t="shared" si="0"/>
        <v>4</v>
      </c>
      <c r="F38">
        <f t="shared" si="1"/>
        <v>4</v>
      </c>
      <c r="G38">
        <f t="shared" si="2"/>
        <v>0</v>
      </c>
      <c r="V38" s="1">
        <v>44598</v>
      </c>
      <c r="W38">
        <v>26.9</v>
      </c>
      <c r="X38">
        <v>20.399999999999999</v>
      </c>
      <c r="Y38">
        <v>0</v>
      </c>
      <c r="Z38">
        <v>792</v>
      </c>
      <c r="AA38">
        <v>967</v>
      </c>
      <c r="AD38">
        <v>26.9</v>
      </c>
      <c r="AE38">
        <v>792</v>
      </c>
      <c r="AH38">
        <v>20.399999999999999</v>
      </c>
      <c r="AI38">
        <v>792</v>
      </c>
      <c r="AL38">
        <v>0</v>
      </c>
      <c r="AM38">
        <v>792</v>
      </c>
      <c r="AP38">
        <v>26.9</v>
      </c>
      <c r="AQ38">
        <v>967</v>
      </c>
      <c r="AT38">
        <v>20.399999999999999</v>
      </c>
      <c r="AU38">
        <v>967</v>
      </c>
      <c r="AX38">
        <v>0</v>
      </c>
      <c r="AY38">
        <v>967</v>
      </c>
    </row>
    <row r="39" spans="1:51" x14ac:dyDescent="0.3">
      <c r="A39" s="1">
        <v>44599</v>
      </c>
      <c r="B39">
        <v>29.2</v>
      </c>
      <c r="C39">
        <v>26.7</v>
      </c>
      <c r="D39">
        <v>0.8</v>
      </c>
      <c r="E39">
        <f t="shared" si="0"/>
        <v>4</v>
      </c>
      <c r="F39">
        <f t="shared" si="1"/>
        <v>4</v>
      </c>
      <c r="G39">
        <f t="shared" si="2"/>
        <v>0</v>
      </c>
      <c r="V39" s="1">
        <v>44599</v>
      </c>
      <c r="W39">
        <v>29.2</v>
      </c>
      <c r="X39">
        <v>26.7</v>
      </c>
      <c r="Y39">
        <v>0.8</v>
      </c>
      <c r="Z39">
        <v>576</v>
      </c>
      <c r="AA39">
        <v>538</v>
      </c>
      <c r="AD39">
        <v>29.2</v>
      </c>
      <c r="AE39">
        <v>576</v>
      </c>
      <c r="AH39">
        <v>26.7</v>
      </c>
      <c r="AI39">
        <v>576</v>
      </c>
      <c r="AL39">
        <v>0.8</v>
      </c>
      <c r="AM39">
        <v>576</v>
      </c>
      <c r="AP39">
        <v>29.2</v>
      </c>
      <c r="AQ39">
        <v>538</v>
      </c>
      <c r="AT39">
        <v>26.7</v>
      </c>
      <c r="AU39">
        <v>538</v>
      </c>
      <c r="AX39">
        <v>0.8</v>
      </c>
      <c r="AY39">
        <v>538</v>
      </c>
    </row>
    <row r="40" spans="1:51" x14ac:dyDescent="0.3">
      <c r="A40" s="1">
        <v>44600</v>
      </c>
      <c r="B40">
        <v>28.3</v>
      </c>
      <c r="C40">
        <v>25.7</v>
      </c>
      <c r="D40">
        <v>10</v>
      </c>
      <c r="E40">
        <f t="shared" si="0"/>
        <v>4</v>
      </c>
      <c r="F40">
        <f t="shared" si="1"/>
        <v>4</v>
      </c>
      <c r="G40">
        <f t="shared" si="2"/>
        <v>0</v>
      </c>
      <c r="V40" s="1">
        <v>44600</v>
      </c>
      <c r="W40">
        <v>28.3</v>
      </c>
      <c r="X40">
        <v>25.7</v>
      </c>
      <c r="Y40">
        <v>10</v>
      </c>
      <c r="Z40">
        <v>871</v>
      </c>
      <c r="AA40">
        <v>924</v>
      </c>
      <c r="AD40">
        <v>28.3</v>
      </c>
      <c r="AE40">
        <v>871</v>
      </c>
      <c r="AH40">
        <v>25.7</v>
      </c>
      <c r="AI40">
        <v>871</v>
      </c>
      <c r="AL40">
        <v>10</v>
      </c>
      <c r="AM40">
        <v>871</v>
      </c>
      <c r="AP40">
        <v>28.3</v>
      </c>
      <c r="AQ40">
        <v>924</v>
      </c>
      <c r="AT40">
        <v>25.7</v>
      </c>
      <c r="AU40">
        <v>924</v>
      </c>
      <c r="AX40">
        <v>10</v>
      </c>
      <c r="AY40">
        <v>924</v>
      </c>
    </row>
    <row r="41" spans="1:51" x14ac:dyDescent="0.3">
      <c r="A41" s="1">
        <v>44601</v>
      </c>
      <c r="B41">
        <v>30</v>
      </c>
      <c r="C41">
        <v>27.4</v>
      </c>
      <c r="D41">
        <v>0</v>
      </c>
      <c r="E41">
        <f t="shared" si="0"/>
        <v>4</v>
      </c>
      <c r="F41">
        <f t="shared" si="1"/>
        <v>4</v>
      </c>
      <c r="G41">
        <f t="shared" si="2"/>
        <v>0</v>
      </c>
      <c r="V41" s="1">
        <v>44601</v>
      </c>
      <c r="W41">
        <v>30</v>
      </c>
      <c r="X41">
        <v>27.4</v>
      </c>
      <c r="Y41">
        <v>0</v>
      </c>
      <c r="Z41">
        <v>801</v>
      </c>
      <c r="AA41">
        <v>873</v>
      </c>
      <c r="AD41">
        <v>30</v>
      </c>
      <c r="AE41">
        <v>801</v>
      </c>
      <c r="AH41">
        <v>27.4</v>
      </c>
      <c r="AI41">
        <v>801</v>
      </c>
      <c r="AL41">
        <v>0</v>
      </c>
      <c r="AM41">
        <v>801</v>
      </c>
      <c r="AP41">
        <v>30</v>
      </c>
      <c r="AQ41">
        <v>873</v>
      </c>
      <c r="AT41">
        <v>27.4</v>
      </c>
      <c r="AU41">
        <v>873</v>
      </c>
      <c r="AX41">
        <v>0</v>
      </c>
      <c r="AY41">
        <v>873</v>
      </c>
    </row>
    <row r="42" spans="1:51" x14ac:dyDescent="0.3">
      <c r="A42" s="1">
        <v>44602</v>
      </c>
      <c r="B42">
        <v>31.2</v>
      </c>
      <c r="C42">
        <v>28.6</v>
      </c>
      <c r="D42">
        <v>0</v>
      </c>
      <c r="E42">
        <f t="shared" si="0"/>
        <v>4</v>
      </c>
      <c r="F42">
        <f t="shared" si="1"/>
        <v>4</v>
      </c>
      <c r="G42">
        <f t="shared" si="2"/>
        <v>0</v>
      </c>
      <c r="V42" s="1">
        <v>44602</v>
      </c>
      <c r="W42">
        <v>31.2</v>
      </c>
      <c r="X42">
        <v>28.6</v>
      </c>
      <c r="Y42">
        <v>0</v>
      </c>
      <c r="Z42">
        <v>771</v>
      </c>
      <c r="AA42">
        <v>804</v>
      </c>
      <c r="AD42">
        <v>31.2</v>
      </c>
      <c r="AE42">
        <v>771</v>
      </c>
      <c r="AH42">
        <v>28.6</v>
      </c>
      <c r="AI42">
        <v>771</v>
      </c>
      <c r="AL42">
        <v>0</v>
      </c>
      <c r="AM42">
        <v>771</v>
      </c>
      <c r="AP42">
        <v>31.2</v>
      </c>
      <c r="AQ42">
        <v>804</v>
      </c>
      <c r="AT42">
        <v>28.6</v>
      </c>
      <c r="AU42">
        <v>804</v>
      </c>
      <c r="AX42">
        <v>0</v>
      </c>
      <c r="AY42">
        <v>804</v>
      </c>
    </row>
    <row r="43" spans="1:51" x14ac:dyDescent="0.3">
      <c r="A43" s="1">
        <v>44603</v>
      </c>
      <c r="B43">
        <v>31.3</v>
      </c>
      <c r="C43">
        <v>27</v>
      </c>
      <c r="D43">
        <v>0</v>
      </c>
      <c r="E43">
        <f t="shared" si="0"/>
        <v>4</v>
      </c>
      <c r="F43">
        <f t="shared" si="1"/>
        <v>4</v>
      </c>
      <c r="G43">
        <f t="shared" si="2"/>
        <v>0</v>
      </c>
      <c r="V43" s="1">
        <v>44603</v>
      </c>
      <c r="W43">
        <v>31.3</v>
      </c>
      <c r="X43">
        <v>27</v>
      </c>
      <c r="Y43">
        <v>0</v>
      </c>
      <c r="Z43">
        <v>856</v>
      </c>
      <c r="AA43">
        <v>965</v>
      </c>
      <c r="AD43">
        <v>31.3</v>
      </c>
      <c r="AE43">
        <v>856</v>
      </c>
      <c r="AH43">
        <v>27</v>
      </c>
      <c r="AI43">
        <v>856</v>
      </c>
      <c r="AL43">
        <v>0</v>
      </c>
      <c r="AM43">
        <v>856</v>
      </c>
      <c r="AP43">
        <v>31.3</v>
      </c>
      <c r="AQ43">
        <v>965</v>
      </c>
      <c r="AT43">
        <v>27</v>
      </c>
      <c r="AU43">
        <v>965</v>
      </c>
      <c r="AX43">
        <v>0</v>
      </c>
      <c r="AY43">
        <v>965</v>
      </c>
    </row>
    <row r="44" spans="1:51" x14ac:dyDescent="0.3">
      <c r="A44" s="1">
        <v>44604</v>
      </c>
      <c r="B44">
        <v>28.9</v>
      </c>
      <c r="C44">
        <v>19.5</v>
      </c>
      <c r="D44">
        <v>0</v>
      </c>
      <c r="E44">
        <f t="shared" si="0"/>
        <v>4</v>
      </c>
      <c r="F44">
        <f t="shared" si="1"/>
        <v>4</v>
      </c>
      <c r="G44">
        <f t="shared" si="2"/>
        <v>0</v>
      </c>
      <c r="V44" s="1">
        <v>44604</v>
      </c>
      <c r="W44">
        <v>28.9</v>
      </c>
      <c r="X44">
        <v>19.5</v>
      </c>
      <c r="Y44">
        <v>0</v>
      </c>
      <c r="Z44">
        <v>583</v>
      </c>
      <c r="AA44">
        <v>837</v>
      </c>
      <c r="AD44">
        <v>28.9</v>
      </c>
      <c r="AE44">
        <v>583</v>
      </c>
      <c r="AH44">
        <v>19.5</v>
      </c>
      <c r="AI44">
        <v>583</v>
      </c>
      <c r="AL44">
        <v>0</v>
      </c>
      <c r="AM44">
        <v>583</v>
      </c>
      <c r="AP44">
        <v>28.9</v>
      </c>
      <c r="AQ44">
        <v>837</v>
      </c>
      <c r="AT44">
        <v>19.5</v>
      </c>
      <c r="AU44">
        <v>837</v>
      </c>
      <c r="AX44">
        <v>0</v>
      </c>
      <c r="AY44">
        <v>837</v>
      </c>
    </row>
    <row r="45" spans="1:51" x14ac:dyDescent="0.3">
      <c r="A45" s="1">
        <v>44605</v>
      </c>
      <c r="B45">
        <v>29.3</v>
      </c>
      <c r="C45">
        <v>27</v>
      </c>
      <c r="D45">
        <v>7.2</v>
      </c>
      <c r="F45">
        <f t="shared" si="1"/>
        <v>4</v>
      </c>
      <c r="G45">
        <f t="shared" si="2"/>
        <v>0</v>
      </c>
      <c r="V45" s="1">
        <v>44605</v>
      </c>
      <c r="W45">
        <v>29.3</v>
      </c>
      <c r="X45">
        <v>27</v>
      </c>
      <c r="Y45">
        <v>7.2</v>
      </c>
      <c r="Z45">
        <v>664</v>
      </c>
      <c r="AA45">
        <v>954</v>
      </c>
      <c r="AD45">
        <v>29.3</v>
      </c>
      <c r="AE45">
        <v>664</v>
      </c>
      <c r="AH45">
        <v>27</v>
      </c>
      <c r="AI45">
        <v>664</v>
      </c>
      <c r="AL45">
        <v>7.2</v>
      </c>
      <c r="AM45">
        <v>664</v>
      </c>
      <c r="AP45">
        <v>29.3</v>
      </c>
      <c r="AQ45">
        <v>954</v>
      </c>
      <c r="AT45">
        <v>27</v>
      </c>
      <c r="AU45">
        <v>954</v>
      </c>
      <c r="AX45">
        <v>7.2</v>
      </c>
      <c r="AY45">
        <v>954</v>
      </c>
    </row>
    <row r="46" spans="1:51" x14ac:dyDescent="0.3">
      <c r="A46" s="1">
        <v>44606</v>
      </c>
      <c r="B46">
        <v>27.9</v>
      </c>
      <c r="C46">
        <v>17.399999999999999</v>
      </c>
      <c r="D46">
        <v>0.6</v>
      </c>
      <c r="E46">
        <f t="shared" si="0"/>
        <v>4</v>
      </c>
      <c r="F46">
        <f t="shared" si="1"/>
        <v>4</v>
      </c>
      <c r="G46">
        <f t="shared" si="2"/>
        <v>0</v>
      </c>
      <c r="V46" s="1">
        <v>44606</v>
      </c>
      <c r="W46">
        <v>27.9</v>
      </c>
      <c r="X46">
        <v>17.399999999999999</v>
      </c>
      <c r="Y46">
        <v>0.6</v>
      </c>
      <c r="Z46">
        <v>547</v>
      </c>
      <c r="AA46">
        <v>414</v>
      </c>
      <c r="AD46">
        <v>27.9</v>
      </c>
      <c r="AE46">
        <v>547</v>
      </c>
      <c r="AH46">
        <v>17.399999999999999</v>
      </c>
      <c r="AI46">
        <v>547</v>
      </c>
      <c r="AL46">
        <v>0.6</v>
      </c>
      <c r="AM46">
        <v>547</v>
      </c>
      <c r="AP46">
        <v>27.9</v>
      </c>
      <c r="AQ46">
        <v>414</v>
      </c>
      <c r="AT46">
        <v>17.399999999999999</v>
      </c>
      <c r="AU46">
        <v>414</v>
      </c>
      <c r="AX46">
        <v>0.6</v>
      </c>
      <c r="AY46">
        <v>414</v>
      </c>
    </row>
    <row r="47" spans="1:51" x14ac:dyDescent="0.3">
      <c r="A47" s="1">
        <v>44607</v>
      </c>
      <c r="B47">
        <v>27.1</v>
      </c>
      <c r="C47">
        <v>14.9</v>
      </c>
      <c r="D47">
        <v>5.6</v>
      </c>
      <c r="E47">
        <f t="shared" si="0"/>
        <v>4</v>
      </c>
      <c r="F47">
        <f t="shared" si="1"/>
        <v>4</v>
      </c>
      <c r="G47">
        <f t="shared" si="2"/>
        <v>0</v>
      </c>
      <c r="V47" s="1">
        <v>44607</v>
      </c>
      <c r="W47">
        <v>27.1</v>
      </c>
      <c r="X47">
        <v>14.9</v>
      </c>
      <c r="Y47">
        <v>5.6</v>
      </c>
      <c r="Z47">
        <v>716</v>
      </c>
      <c r="AA47">
        <v>713</v>
      </c>
      <c r="AD47">
        <v>27.1</v>
      </c>
      <c r="AE47">
        <v>716</v>
      </c>
      <c r="AH47">
        <v>14.9</v>
      </c>
      <c r="AI47">
        <v>716</v>
      </c>
      <c r="AL47">
        <v>5.6</v>
      </c>
      <c r="AM47">
        <v>716</v>
      </c>
      <c r="AP47">
        <v>27.1</v>
      </c>
      <c r="AQ47">
        <v>713</v>
      </c>
      <c r="AT47">
        <v>14.9</v>
      </c>
      <c r="AU47">
        <v>713</v>
      </c>
      <c r="AX47">
        <v>5.6</v>
      </c>
      <c r="AY47">
        <v>713</v>
      </c>
    </row>
    <row r="48" spans="1:51" x14ac:dyDescent="0.3">
      <c r="A48" s="1">
        <v>44608</v>
      </c>
      <c r="B48">
        <v>28.7</v>
      </c>
      <c r="C48">
        <v>24.6</v>
      </c>
      <c r="D48">
        <v>0.2</v>
      </c>
      <c r="E48">
        <f t="shared" si="0"/>
        <v>4</v>
      </c>
      <c r="F48">
        <f t="shared" si="1"/>
        <v>4</v>
      </c>
      <c r="G48">
        <f t="shared" si="2"/>
        <v>0</v>
      </c>
      <c r="V48" s="1">
        <v>44608</v>
      </c>
      <c r="W48">
        <v>28.7</v>
      </c>
      <c r="X48">
        <v>24.6</v>
      </c>
      <c r="Y48">
        <v>0.2</v>
      </c>
      <c r="Z48">
        <v>711</v>
      </c>
      <c r="AA48">
        <v>850</v>
      </c>
      <c r="AD48">
        <v>28.7</v>
      </c>
      <c r="AE48">
        <v>711</v>
      </c>
      <c r="AH48">
        <v>24.6</v>
      </c>
      <c r="AI48">
        <v>711</v>
      </c>
      <c r="AL48">
        <v>0.2</v>
      </c>
      <c r="AM48">
        <v>711</v>
      </c>
      <c r="AP48">
        <v>28.7</v>
      </c>
      <c r="AQ48">
        <v>850</v>
      </c>
      <c r="AT48">
        <v>24.6</v>
      </c>
      <c r="AU48">
        <v>850</v>
      </c>
      <c r="AX48">
        <v>0.2</v>
      </c>
      <c r="AY48">
        <v>850</v>
      </c>
    </row>
    <row r="49" spans="1:51" x14ac:dyDescent="0.3">
      <c r="A49" s="1">
        <v>44609</v>
      </c>
      <c r="B49">
        <v>29.8</v>
      </c>
      <c r="C49">
        <v>24.8</v>
      </c>
      <c r="D49">
        <v>0</v>
      </c>
      <c r="E49">
        <f t="shared" si="0"/>
        <v>4</v>
      </c>
      <c r="F49">
        <f t="shared" si="1"/>
        <v>4</v>
      </c>
      <c r="G49">
        <f t="shared" si="2"/>
        <v>0</v>
      </c>
      <c r="V49" s="1">
        <v>44609</v>
      </c>
      <c r="W49">
        <v>29.8</v>
      </c>
      <c r="X49">
        <v>24.8</v>
      </c>
      <c r="Y49">
        <v>0</v>
      </c>
      <c r="Z49">
        <v>765</v>
      </c>
      <c r="AA49">
        <v>729</v>
      </c>
      <c r="AD49">
        <v>29.8</v>
      </c>
      <c r="AE49">
        <v>765</v>
      </c>
      <c r="AH49">
        <v>24.8</v>
      </c>
      <c r="AI49">
        <v>765</v>
      </c>
      <c r="AL49">
        <v>0</v>
      </c>
      <c r="AM49">
        <v>765</v>
      </c>
      <c r="AP49">
        <v>29.8</v>
      </c>
      <c r="AQ49">
        <v>729</v>
      </c>
      <c r="AT49">
        <v>24.8</v>
      </c>
      <c r="AU49">
        <v>729</v>
      </c>
      <c r="AX49">
        <v>0</v>
      </c>
      <c r="AY49">
        <v>729</v>
      </c>
    </row>
    <row r="50" spans="1:51" x14ac:dyDescent="0.3">
      <c r="A50" s="1">
        <v>44610</v>
      </c>
      <c r="B50">
        <v>31.9</v>
      </c>
      <c r="C50">
        <v>26.9</v>
      </c>
      <c r="D50">
        <v>0</v>
      </c>
      <c r="E50">
        <f t="shared" si="0"/>
        <v>4</v>
      </c>
      <c r="F50">
        <f t="shared" si="1"/>
        <v>4</v>
      </c>
      <c r="G50">
        <f t="shared" si="2"/>
        <v>0</v>
      </c>
      <c r="V50" s="1">
        <v>44610</v>
      </c>
      <c r="W50">
        <v>31.9</v>
      </c>
      <c r="X50">
        <v>26.9</v>
      </c>
      <c r="Y50">
        <v>0</v>
      </c>
      <c r="Z50">
        <v>656</v>
      </c>
      <c r="AA50">
        <v>921</v>
      </c>
      <c r="AD50">
        <v>31.9</v>
      </c>
      <c r="AE50">
        <v>656</v>
      </c>
      <c r="AH50">
        <v>26.9</v>
      </c>
      <c r="AI50">
        <v>656</v>
      </c>
      <c r="AL50">
        <v>0</v>
      </c>
      <c r="AM50">
        <v>656</v>
      </c>
      <c r="AP50">
        <v>31.9</v>
      </c>
      <c r="AQ50">
        <v>921</v>
      </c>
      <c r="AT50">
        <v>26.9</v>
      </c>
      <c r="AU50">
        <v>921</v>
      </c>
      <c r="AX50">
        <v>0</v>
      </c>
      <c r="AY50">
        <v>921</v>
      </c>
    </row>
    <row r="51" spans="1:51" x14ac:dyDescent="0.3">
      <c r="A51" s="1">
        <v>44611</v>
      </c>
      <c r="B51">
        <v>31</v>
      </c>
      <c r="C51">
        <v>22</v>
      </c>
      <c r="D51">
        <v>19.2</v>
      </c>
      <c r="E51">
        <f t="shared" si="0"/>
        <v>4</v>
      </c>
      <c r="F51">
        <f t="shared" si="1"/>
        <v>4</v>
      </c>
      <c r="G51">
        <f t="shared" si="2"/>
        <v>0</v>
      </c>
      <c r="V51" s="1">
        <v>44611</v>
      </c>
      <c r="W51">
        <v>31</v>
      </c>
      <c r="X51">
        <v>22</v>
      </c>
      <c r="Y51">
        <v>19.2</v>
      </c>
      <c r="Z51">
        <v>530</v>
      </c>
      <c r="AA51">
        <v>817</v>
      </c>
      <c r="AD51">
        <v>31</v>
      </c>
      <c r="AE51">
        <v>530</v>
      </c>
      <c r="AH51">
        <v>22</v>
      </c>
      <c r="AI51">
        <v>530</v>
      </c>
      <c r="AL51">
        <v>19.2</v>
      </c>
      <c r="AM51">
        <v>530</v>
      </c>
      <c r="AP51">
        <v>31</v>
      </c>
      <c r="AQ51">
        <v>817</v>
      </c>
      <c r="AT51">
        <v>22</v>
      </c>
      <c r="AU51">
        <v>817</v>
      </c>
      <c r="AX51">
        <v>19.2</v>
      </c>
      <c r="AY51">
        <v>817</v>
      </c>
    </row>
    <row r="52" spans="1:51" x14ac:dyDescent="0.3">
      <c r="A52" s="1">
        <v>44612</v>
      </c>
      <c r="B52">
        <v>27.6</v>
      </c>
      <c r="C52">
        <v>18.100000000000001</v>
      </c>
      <c r="D52">
        <v>10.4</v>
      </c>
      <c r="E52">
        <f t="shared" si="0"/>
        <v>4</v>
      </c>
      <c r="F52">
        <f t="shared" si="1"/>
        <v>4</v>
      </c>
      <c r="G52">
        <f t="shared" si="2"/>
        <v>0</v>
      </c>
      <c r="V52" s="1">
        <v>44612</v>
      </c>
      <c r="W52">
        <v>27.6</v>
      </c>
      <c r="X52">
        <v>18.100000000000001</v>
      </c>
      <c r="Y52">
        <v>10.4</v>
      </c>
      <c r="Z52">
        <v>651</v>
      </c>
      <c r="AA52">
        <v>783</v>
      </c>
      <c r="AD52">
        <v>27.6</v>
      </c>
      <c r="AE52">
        <v>651</v>
      </c>
      <c r="AH52">
        <v>18.100000000000001</v>
      </c>
      <c r="AI52">
        <v>651</v>
      </c>
      <c r="AL52">
        <v>10.4</v>
      </c>
      <c r="AM52">
        <v>651</v>
      </c>
      <c r="AP52">
        <v>27.6</v>
      </c>
      <c r="AQ52">
        <v>783</v>
      </c>
      <c r="AT52">
        <v>18.100000000000001</v>
      </c>
      <c r="AU52">
        <v>783</v>
      </c>
      <c r="AX52">
        <v>10.4</v>
      </c>
      <c r="AY52">
        <v>783</v>
      </c>
    </row>
    <row r="53" spans="1:51" x14ac:dyDescent="0.3">
      <c r="A53" s="1">
        <v>44613</v>
      </c>
      <c r="B53">
        <v>30.1</v>
      </c>
      <c r="C53">
        <v>23.1</v>
      </c>
      <c r="D53">
        <v>0.2</v>
      </c>
      <c r="E53">
        <f t="shared" si="0"/>
        <v>4</v>
      </c>
      <c r="F53">
        <f t="shared" si="1"/>
        <v>4</v>
      </c>
      <c r="G53">
        <f t="shared" si="2"/>
        <v>0</v>
      </c>
      <c r="V53" s="1">
        <v>44613</v>
      </c>
      <c r="W53">
        <v>30.1</v>
      </c>
      <c r="X53">
        <v>23.1</v>
      </c>
      <c r="Y53">
        <v>0.2</v>
      </c>
      <c r="Z53">
        <v>589</v>
      </c>
      <c r="AA53">
        <v>581</v>
      </c>
      <c r="AD53">
        <v>30.1</v>
      </c>
      <c r="AE53">
        <v>589</v>
      </c>
      <c r="AH53">
        <v>23.1</v>
      </c>
      <c r="AI53">
        <v>589</v>
      </c>
      <c r="AL53">
        <v>0.2</v>
      </c>
      <c r="AM53">
        <v>589</v>
      </c>
      <c r="AP53">
        <v>30.1</v>
      </c>
      <c r="AQ53">
        <v>581</v>
      </c>
      <c r="AT53">
        <v>23.1</v>
      </c>
      <c r="AU53">
        <v>581</v>
      </c>
      <c r="AX53">
        <v>0.2</v>
      </c>
      <c r="AY53">
        <v>581</v>
      </c>
    </row>
    <row r="54" spans="1:51" x14ac:dyDescent="0.3">
      <c r="A54" s="1">
        <v>44614</v>
      </c>
      <c r="B54">
        <v>30.3</v>
      </c>
      <c r="C54">
        <v>18</v>
      </c>
      <c r="D54">
        <v>2.2000000000000002</v>
      </c>
      <c r="E54">
        <f t="shared" si="0"/>
        <v>4</v>
      </c>
      <c r="F54">
        <f t="shared" si="1"/>
        <v>4</v>
      </c>
      <c r="G54">
        <f t="shared" si="2"/>
        <v>0</v>
      </c>
      <c r="V54" s="1">
        <v>44614</v>
      </c>
      <c r="W54">
        <v>30.3</v>
      </c>
      <c r="X54">
        <v>18</v>
      </c>
      <c r="Y54">
        <v>2.2000000000000002</v>
      </c>
      <c r="Z54">
        <v>640</v>
      </c>
      <c r="AA54">
        <v>766</v>
      </c>
      <c r="AD54">
        <v>30.3</v>
      </c>
      <c r="AE54">
        <v>640</v>
      </c>
      <c r="AH54">
        <v>18</v>
      </c>
      <c r="AI54">
        <v>640</v>
      </c>
      <c r="AL54">
        <v>2.2000000000000002</v>
      </c>
      <c r="AM54">
        <v>640</v>
      </c>
      <c r="AP54">
        <v>30.3</v>
      </c>
      <c r="AQ54">
        <v>766</v>
      </c>
      <c r="AT54">
        <v>18</v>
      </c>
      <c r="AU54">
        <v>766</v>
      </c>
      <c r="AX54">
        <v>2.2000000000000002</v>
      </c>
      <c r="AY54">
        <v>766</v>
      </c>
    </row>
    <row r="55" spans="1:51" x14ac:dyDescent="0.3">
      <c r="A55" s="1">
        <v>44615</v>
      </c>
      <c r="B55">
        <v>28.7</v>
      </c>
      <c r="C55">
        <v>17.399999999999999</v>
      </c>
      <c r="D55">
        <v>38.6</v>
      </c>
      <c r="E55">
        <f t="shared" si="0"/>
        <v>4</v>
      </c>
      <c r="F55">
        <f t="shared" si="1"/>
        <v>4</v>
      </c>
      <c r="G55">
        <f t="shared" si="2"/>
        <v>0</v>
      </c>
      <c r="V55" s="1">
        <v>44615</v>
      </c>
      <c r="W55">
        <v>28.7</v>
      </c>
      <c r="X55">
        <v>17.399999999999999</v>
      </c>
      <c r="Y55">
        <v>38.6</v>
      </c>
      <c r="Z55">
        <v>278</v>
      </c>
      <c r="AA55">
        <v>178</v>
      </c>
      <c r="AD55">
        <v>28.7</v>
      </c>
      <c r="AE55">
        <v>278</v>
      </c>
      <c r="AH55">
        <v>17.399999999999999</v>
      </c>
      <c r="AI55">
        <v>278</v>
      </c>
      <c r="AL55">
        <v>38.6</v>
      </c>
      <c r="AM55">
        <v>278</v>
      </c>
      <c r="AP55">
        <v>28.7</v>
      </c>
      <c r="AQ55">
        <v>178</v>
      </c>
      <c r="AT55">
        <v>17.399999999999999</v>
      </c>
      <c r="AU55">
        <v>178</v>
      </c>
      <c r="AX55">
        <v>38.6</v>
      </c>
      <c r="AY55">
        <v>178</v>
      </c>
    </row>
    <row r="56" spans="1:51" x14ac:dyDescent="0.3">
      <c r="A56" s="1">
        <v>44616</v>
      </c>
      <c r="B56">
        <v>28.1</v>
      </c>
      <c r="C56">
        <v>16.600000000000001</v>
      </c>
      <c r="D56">
        <v>13.4</v>
      </c>
      <c r="E56">
        <f t="shared" si="0"/>
        <v>4</v>
      </c>
      <c r="F56">
        <f t="shared" si="1"/>
        <v>4</v>
      </c>
      <c r="G56">
        <f t="shared" si="2"/>
        <v>0</v>
      </c>
      <c r="V56" s="1">
        <v>44616</v>
      </c>
      <c r="W56">
        <v>28.1</v>
      </c>
      <c r="X56">
        <v>16.600000000000001</v>
      </c>
      <c r="Y56">
        <v>13.4</v>
      </c>
      <c r="Z56">
        <v>223</v>
      </c>
      <c r="AA56">
        <v>181</v>
      </c>
      <c r="AD56">
        <v>28.1</v>
      </c>
      <c r="AE56">
        <v>223</v>
      </c>
      <c r="AH56">
        <v>16.600000000000001</v>
      </c>
      <c r="AI56">
        <v>223</v>
      </c>
      <c r="AL56">
        <v>13.4</v>
      </c>
      <c r="AM56">
        <v>223</v>
      </c>
      <c r="AP56">
        <v>28.1</v>
      </c>
      <c r="AQ56">
        <v>181</v>
      </c>
      <c r="AT56">
        <v>16.600000000000001</v>
      </c>
      <c r="AU56">
        <v>181</v>
      </c>
      <c r="AX56">
        <v>13.4</v>
      </c>
      <c r="AY56">
        <v>181</v>
      </c>
    </row>
    <row r="57" spans="1:51" x14ac:dyDescent="0.3">
      <c r="A57" s="1">
        <v>44617</v>
      </c>
      <c r="B57">
        <v>24.2</v>
      </c>
      <c r="C57">
        <f>2*0.8</f>
        <v>1.6</v>
      </c>
      <c r="D57">
        <v>64</v>
      </c>
      <c r="E57">
        <f t="shared" si="0"/>
        <v>4</v>
      </c>
      <c r="F57">
        <f t="shared" si="1"/>
        <v>4</v>
      </c>
      <c r="G57">
        <f t="shared" si="2"/>
        <v>0</v>
      </c>
      <c r="V57" s="1">
        <v>44617</v>
      </c>
      <c r="W57">
        <v>24.2</v>
      </c>
      <c r="X57">
        <f>2*0.8</f>
        <v>1.6</v>
      </c>
      <c r="Y57">
        <v>64</v>
      </c>
      <c r="Z57">
        <v>44</v>
      </c>
      <c r="AA57">
        <v>73</v>
      </c>
      <c r="AD57">
        <v>24.2</v>
      </c>
      <c r="AE57">
        <v>44</v>
      </c>
      <c r="AH57">
        <f>2*0.8</f>
        <v>1.6</v>
      </c>
      <c r="AI57">
        <v>44</v>
      </c>
      <c r="AL57">
        <v>64</v>
      </c>
      <c r="AM57">
        <v>44</v>
      </c>
      <c r="AP57">
        <v>24.2</v>
      </c>
      <c r="AQ57">
        <v>73</v>
      </c>
      <c r="AT57">
        <f>2*0.8</f>
        <v>1.6</v>
      </c>
      <c r="AU57">
        <v>73</v>
      </c>
      <c r="AX57">
        <v>64</v>
      </c>
      <c r="AY57">
        <v>73</v>
      </c>
    </row>
    <row r="58" spans="1:51" x14ac:dyDescent="0.3">
      <c r="A58" s="1">
        <v>44618</v>
      </c>
      <c r="B58">
        <v>23.9</v>
      </c>
      <c r="C58">
        <f>2*1.9</f>
        <v>3.8</v>
      </c>
      <c r="D58">
        <f>225.6/2</f>
        <v>112.8</v>
      </c>
      <c r="E58">
        <f t="shared" si="0"/>
        <v>4</v>
      </c>
      <c r="F58">
        <f t="shared" si="1"/>
        <v>4</v>
      </c>
      <c r="G58">
        <f t="shared" si="2"/>
        <v>0</v>
      </c>
      <c r="V58" s="1">
        <v>44618</v>
      </c>
      <c r="W58">
        <v>23.9</v>
      </c>
      <c r="X58">
        <f>2*1.9</f>
        <v>3.8</v>
      </c>
      <c r="Y58">
        <f>225.6/2</f>
        <v>112.8</v>
      </c>
      <c r="Z58">
        <v>36</v>
      </c>
      <c r="AA58">
        <v>19</v>
      </c>
      <c r="AD58">
        <v>23.9</v>
      </c>
      <c r="AE58">
        <v>36</v>
      </c>
      <c r="AH58">
        <f>2*1.9</f>
        <v>3.8</v>
      </c>
      <c r="AI58">
        <v>36</v>
      </c>
      <c r="AL58">
        <f>225.6/2</f>
        <v>112.8</v>
      </c>
      <c r="AM58">
        <v>36</v>
      </c>
      <c r="AP58">
        <v>23.9</v>
      </c>
      <c r="AQ58">
        <v>19</v>
      </c>
      <c r="AT58">
        <f>2*1.9</f>
        <v>3.8</v>
      </c>
      <c r="AU58">
        <v>19</v>
      </c>
      <c r="AX58">
        <f>225.6/2</f>
        <v>112.8</v>
      </c>
      <c r="AY58">
        <v>19</v>
      </c>
    </row>
    <row r="59" spans="1:51" x14ac:dyDescent="0.3">
      <c r="A59" s="1">
        <v>44619</v>
      </c>
      <c r="B59">
        <v>23.6</v>
      </c>
      <c r="C59">
        <v>17.399999999999999</v>
      </c>
      <c r="D59">
        <f>228.4/2</f>
        <v>114.2</v>
      </c>
      <c r="E59">
        <f t="shared" si="0"/>
        <v>4</v>
      </c>
      <c r="F59">
        <f t="shared" si="1"/>
        <v>4</v>
      </c>
      <c r="G59">
        <f t="shared" si="2"/>
        <v>0</v>
      </c>
      <c r="V59" s="1">
        <v>44619</v>
      </c>
      <c r="W59">
        <v>23.6</v>
      </c>
      <c r="X59">
        <v>17.399999999999999</v>
      </c>
      <c r="Y59">
        <f>228.4/2</f>
        <v>114.2</v>
      </c>
      <c r="Z59">
        <v>42</v>
      </c>
      <c r="AA59">
        <v>26</v>
      </c>
      <c r="AD59">
        <v>23.6</v>
      </c>
      <c r="AE59">
        <v>42</v>
      </c>
      <c r="AH59">
        <v>17.399999999999999</v>
      </c>
      <c r="AI59">
        <v>42</v>
      </c>
      <c r="AL59">
        <f>228.4/2</f>
        <v>114.2</v>
      </c>
      <c r="AM59">
        <v>42</v>
      </c>
      <c r="AP59">
        <v>23.6</v>
      </c>
      <c r="AQ59">
        <v>26</v>
      </c>
      <c r="AT59">
        <v>17.399999999999999</v>
      </c>
      <c r="AU59">
        <v>26</v>
      </c>
      <c r="AX59">
        <f>228.4/2</f>
        <v>114.2</v>
      </c>
      <c r="AY59">
        <v>26</v>
      </c>
    </row>
    <row r="60" spans="1:51" x14ac:dyDescent="0.3">
      <c r="A60" s="1">
        <v>44620</v>
      </c>
      <c r="B60">
        <v>29.9</v>
      </c>
      <c r="C60">
        <v>20.5</v>
      </c>
      <c r="D60">
        <f>222.8/2</f>
        <v>111.4</v>
      </c>
      <c r="E60">
        <f t="shared" si="0"/>
        <v>4</v>
      </c>
      <c r="F60">
        <f t="shared" si="1"/>
        <v>4</v>
      </c>
      <c r="G60">
        <f t="shared" si="2"/>
        <v>0</v>
      </c>
      <c r="V60" s="1">
        <v>44620</v>
      </c>
      <c r="W60">
        <v>29.9</v>
      </c>
      <c r="X60">
        <v>20.5</v>
      </c>
      <c r="Y60">
        <f>222.8/2</f>
        <v>111.4</v>
      </c>
      <c r="Z60">
        <v>582</v>
      </c>
      <c r="AA60">
        <v>193</v>
      </c>
      <c r="AD60">
        <v>29.9</v>
      </c>
      <c r="AE60">
        <v>582</v>
      </c>
      <c r="AH60">
        <v>20.5</v>
      </c>
      <c r="AI60">
        <v>582</v>
      </c>
      <c r="AL60">
        <f>222.8/2</f>
        <v>111.4</v>
      </c>
      <c r="AM60">
        <v>582</v>
      </c>
      <c r="AP60">
        <v>29.9</v>
      </c>
      <c r="AQ60">
        <v>193</v>
      </c>
      <c r="AT60">
        <v>20.5</v>
      </c>
      <c r="AU60">
        <v>193</v>
      </c>
      <c r="AX60">
        <f>222.8/2</f>
        <v>111.4</v>
      </c>
      <c r="AY60">
        <v>193</v>
      </c>
    </row>
    <row r="61" spans="1:51" x14ac:dyDescent="0.3">
      <c r="A61" s="1">
        <v>44621</v>
      </c>
      <c r="B61">
        <v>30.4</v>
      </c>
      <c r="C61">
        <v>23.7</v>
      </c>
      <c r="D61">
        <v>5.6</v>
      </c>
      <c r="E61">
        <f t="shared" si="0"/>
        <v>4</v>
      </c>
      <c r="F61">
        <f t="shared" si="1"/>
        <v>4</v>
      </c>
      <c r="G61">
        <f t="shared" si="2"/>
        <v>0</v>
      </c>
      <c r="V61" s="1">
        <v>44621</v>
      </c>
      <c r="W61">
        <v>30.4</v>
      </c>
      <c r="X61">
        <v>23.7</v>
      </c>
      <c r="Y61">
        <v>5.6</v>
      </c>
      <c r="Z61">
        <v>478</v>
      </c>
      <c r="AA61">
        <v>204</v>
      </c>
      <c r="AD61">
        <v>30.4</v>
      </c>
      <c r="AE61">
        <v>478</v>
      </c>
      <c r="AH61">
        <v>23.7</v>
      </c>
      <c r="AI61">
        <v>478</v>
      </c>
      <c r="AL61">
        <v>5.6</v>
      </c>
      <c r="AM61">
        <v>478</v>
      </c>
      <c r="AP61">
        <v>30.4</v>
      </c>
      <c r="AQ61">
        <v>204</v>
      </c>
      <c r="AT61">
        <v>23.7</v>
      </c>
      <c r="AU61">
        <v>204</v>
      </c>
      <c r="AX61">
        <v>5.6</v>
      </c>
      <c r="AY61">
        <v>204</v>
      </c>
    </row>
    <row r="62" spans="1:51" x14ac:dyDescent="0.3">
      <c r="A62" s="1">
        <v>44622</v>
      </c>
      <c r="B62">
        <v>31.4</v>
      </c>
      <c r="C62">
        <v>24</v>
      </c>
      <c r="D62">
        <v>0.2</v>
      </c>
      <c r="E62">
        <f t="shared" si="0"/>
        <v>4</v>
      </c>
      <c r="F62">
        <f t="shared" si="1"/>
        <v>4</v>
      </c>
      <c r="G62">
        <f t="shared" si="2"/>
        <v>0</v>
      </c>
      <c r="V62" s="1">
        <v>44622</v>
      </c>
      <c r="W62">
        <v>31.4</v>
      </c>
      <c r="X62">
        <v>24</v>
      </c>
      <c r="Y62">
        <v>0.2</v>
      </c>
      <c r="Z62">
        <v>353</v>
      </c>
      <c r="AA62">
        <v>304</v>
      </c>
      <c r="AD62">
        <v>31.4</v>
      </c>
      <c r="AE62">
        <v>353</v>
      </c>
      <c r="AH62">
        <v>24</v>
      </c>
      <c r="AI62">
        <v>353</v>
      </c>
      <c r="AL62">
        <v>0.2</v>
      </c>
      <c r="AM62">
        <v>353</v>
      </c>
      <c r="AP62">
        <v>31.4</v>
      </c>
      <c r="AQ62">
        <v>304</v>
      </c>
      <c r="AT62">
        <v>24</v>
      </c>
      <c r="AU62">
        <v>304</v>
      </c>
      <c r="AX62">
        <v>0.2</v>
      </c>
      <c r="AY62">
        <v>304</v>
      </c>
    </row>
    <row r="63" spans="1:51" x14ac:dyDescent="0.3">
      <c r="A63" s="1">
        <v>44623</v>
      </c>
      <c r="B63">
        <v>27.7</v>
      </c>
      <c r="C63">
        <v>12.5</v>
      </c>
      <c r="D63">
        <v>56</v>
      </c>
      <c r="E63">
        <f t="shared" si="0"/>
        <v>4</v>
      </c>
      <c r="F63">
        <f t="shared" si="1"/>
        <v>4</v>
      </c>
      <c r="G63">
        <f t="shared" si="2"/>
        <v>0</v>
      </c>
      <c r="V63" s="1">
        <v>44623</v>
      </c>
      <c r="W63">
        <v>27.7</v>
      </c>
      <c r="X63">
        <v>12.5</v>
      </c>
      <c r="Y63">
        <v>56</v>
      </c>
      <c r="Z63">
        <v>223</v>
      </c>
      <c r="AA63">
        <v>107</v>
      </c>
      <c r="AD63">
        <v>27.7</v>
      </c>
      <c r="AE63">
        <v>223</v>
      </c>
      <c r="AH63">
        <v>12.5</v>
      </c>
      <c r="AI63">
        <v>223</v>
      </c>
      <c r="AL63">
        <v>56</v>
      </c>
      <c r="AM63">
        <v>223</v>
      </c>
      <c r="AP63">
        <v>27.7</v>
      </c>
      <c r="AQ63">
        <v>107</v>
      </c>
      <c r="AT63">
        <v>12.5</v>
      </c>
      <c r="AU63">
        <v>107</v>
      </c>
      <c r="AX63">
        <v>56</v>
      </c>
      <c r="AY63">
        <v>107</v>
      </c>
    </row>
    <row r="64" spans="1:51" x14ac:dyDescent="0.3">
      <c r="A64" s="1">
        <v>44624</v>
      </c>
      <c r="B64">
        <v>27.5</v>
      </c>
      <c r="C64">
        <v>13.1</v>
      </c>
      <c r="D64">
        <v>0.6</v>
      </c>
      <c r="E64">
        <f t="shared" si="0"/>
        <v>4</v>
      </c>
      <c r="F64">
        <f t="shared" si="1"/>
        <v>4</v>
      </c>
      <c r="G64">
        <f t="shared" si="2"/>
        <v>0</v>
      </c>
      <c r="V64" s="1">
        <v>44624</v>
      </c>
      <c r="W64">
        <v>27.5</v>
      </c>
      <c r="X64">
        <v>13.1</v>
      </c>
      <c r="Y64">
        <v>0.6</v>
      </c>
      <c r="Z64">
        <v>329</v>
      </c>
      <c r="AA64">
        <v>268</v>
      </c>
      <c r="AD64">
        <v>27.5</v>
      </c>
      <c r="AE64">
        <v>329</v>
      </c>
      <c r="AH64">
        <v>13.1</v>
      </c>
      <c r="AI64">
        <v>329</v>
      </c>
      <c r="AL64">
        <v>0.6</v>
      </c>
      <c r="AM64">
        <v>329</v>
      </c>
      <c r="AP64">
        <v>27.5</v>
      </c>
      <c r="AQ64">
        <v>268</v>
      </c>
      <c r="AT64">
        <v>13.1</v>
      </c>
      <c r="AU64">
        <v>268</v>
      </c>
      <c r="AX64">
        <v>0.6</v>
      </c>
      <c r="AY64">
        <v>268</v>
      </c>
    </row>
    <row r="65" spans="1:51" x14ac:dyDescent="0.3">
      <c r="A65" s="1">
        <v>44625</v>
      </c>
      <c r="B65">
        <v>31.6</v>
      </c>
      <c r="C65">
        <v>24.3</v>
      </c>
      <c r="D65">
        <v>0</v>
      </c>
      <c r="E65">
        <f t="shared" si="0"/>
        <v>4</v>
      </c>
      <c r="F65">
        <f t="shared" si="1"/>
        <v>4</v>
      </c>
      <c r="G65">
        <f t="shared" si="2"/>
        <v>0</v>
      </c>
      <c r="V65" s="1">
        <v>44625</v>
      </c>
      <c r="W65">
        <v>31.6</v>
      </c>
      <c r="X65">
        <v>24.3</v>
      </c>
      <c r="Y65">
        <v>0</v>
      </c>
      <c r="Z65">
        <v>394</v>
      </c>
      <c r="AA65">
        <v>400</v>
      </c>
      <c r="AD65">
        <v>31.6</v>
      </c>
      <c r="AE65">
        <v>394</v>
      </c>
      <c r="AH65">
        <v>24.3</v>
      </c>
      <c r="AI65">
        <v>394</v>
      </c>
      <c r="AL65">
        <v>0</v>
      </c>
      <c r="AM65">
        <v>394</v>
      </c>
      <c r="AP65">
        <v>31.6</v>
      </c>
      <c r="AQ65">
        <v>400</v>
      </c>
      <c r="AT65">
        <v>24.3</v>
      </c>
      <c r="AU65">
        <v>400</v>
      </c>
      <c r="AX65">
        <v>0</v>
      </c>
      <c r="AY65">
        <v>400</v>
      </c>
    </row>
    <row r="66" spans="1:51" x14ac:dyDescent="0.3">
      <c r="A66" s="1">
        <v>44626</v>
      </c>
      <c r="B66">
        <v>32.200000000000003</v>
      </c>
      <c r="C66">
        <v>15.4</v>
      </c>
      <c r="D66">
        <v>0</v>
      </c>
      <c r="E66">
        <f t="shared" si="0"/>
        <v>4</v>
      </c>
      <c r="F66">
        <f t="shared" si="1"/>
        <v>4</v>
      </c>
      <c r="G66">
        <f t="shared" si="2"/>
        <v>0</v>
      </c>
      <c r="V66" s="1">
        <v>44626</v>
      </c>
      <c r="W66">
        <v>32.200000000000003</v>
      </c>
      <c r="X66">
        <v>15.4</v>
      </c>
      <c r="Y66">
        <v>0</v>
      </c>
      <c r="Z66">
        <v>367</v>
      </c>
      <c r="AA66">
        <v>401</v>
      </c>
      <c r="AD66">
        <v>32.200000000000003</v>
      </c>
      <c r="AE66">
        <v>367</v>
      </c>
      <c r="AH66">
        <v>15.4</v>
      </c>
      <c r="AI66">
        <v>367</v>
      </c>
      <c r="AL66">
        <v>0</v>
      </c>
      <c r="AM66">
        <v>367</v>
      </c>
      <c r="AP66">
        <v>32.200000000000003</v>
      </c>
      <c r="AQ66">
        <v>401</v>
      </c>
      <c r="AT66">
        <v>15.4</v>
      </c>
      <c r="AU66">
        <v>401</v>
      </c>
      <c r="AX66">
        <v>0</v>
      </c>
      <c r="AY66">
        <v>401</v>
      </c>
    </row>
    <row r="67" spans="1:51" x14ac:dyDescent="0.3">
      <c r="A67" s="1">
        <v>44627</v>
      </c>
      <c r="B67">
        <v>30.6</v>
      </c>
      <c r="C67">
        <v>24.9</v>
      </c>
      <c r="D67">
        <v>23.4</v>
      </c>
      <c r="E67">
        <f t="shared" ref="E67:E130" si="3">COUNT(A67:D67)</f>
        <v>4</v>
      </c>
      <c r="F67">
        <f t="shared" ref="F67:F130" si="4">COUNTA(A67:D67)</f>
        <v>4</v>
      </c>
      <c r="G67">
        <f t="shared" ref="G67:G130" si="5">COUNTBLANK(A67:D67)</f>
        <v>0</v>
      </c>
      <c r="V67" s="1">
        <v>44627</v>
      </c>
      <c r="W67">
        <v>30.6</v>
      </c>
      <c r="X67">
        <v>24.9</v>
      </c>
      <c r="Y67">
        <v>23.4</v>
      </c>
      <c r="Z67">
        <v>447</v>
      </c>
      <c r="AA67">
        <v>378</v>
      </c>
      <c r="AD67">
        <v>30.6</v>
      </c>
      <c r="AE67">
        <v>447</v>
      </c>
      <c r="AH67">
        <v>24.9</v>
      </c>
      <c r="AI67">
        <v>447</v>
      </c>
      <c r="AL67">
        <v>23.4</v>
      </c>
      <c r="AM67">
        <v>447</v>
      </c>
      <c r="AP67">
        <v>30.6</v>
      </c>
      <c r="AQ67">
        <v>378</v>
      </c>
      <c r="AT67">
        <v>24.9</v>
      </c>
      <c r="AU67">
        <v>378</v>
      </c>
      <c r="AX67">
        <v>23.4</v>
      </c>
      <c r="AY67">
        <v>378</v>
      </c>
    </row>
    <row r="68" spans="1:51" x14ac:dyDescent="0.3">
      <c r="A68" s="1">
        <v>44628</v>
      </c>
      <c r="B68">
        <v>34.4</v>
      </c>
      <c r="C68">
        <v>23.9</v>
      </c>
      <c r="D68">
        <v>0.2</v>
      </c>
      <c r="E68">
        <f t="shared" si="3"/>
        <v>4</v>
      </c>
      <c r="F68">
        <f t="shared" si="4"/>
        <v>4</v>
      </c>
      <c r="G68">
        <f t="shared" si="5"/>
        <v>0</v>
      </c>
      <c r="V68" s="1">
        <v>44628</v>
      </c>
      <c r="W68">
        <v>34.4</v>
      </c>
      <c r="X68">
        <v>23.9</v>
      </c>
      <c r="Y68">
        <v>0.2</v>
      </c>
      <c r="Z68">
        <v>380</v>
      </c>
      <c r="AA68">
        <v>494</v>
      </c>
      <c r="AD68">
        <v>34.4</v>
      </c>
      <c r="AE68">
        <v>380</v>
      </c>
      <c r="AH68">
        <v>23.9</v>
      </c>
      <c r="AI68">
        <v>380</v>
      </c>
      <c r="AL68">
        <v>0.2</v>
      </c>
      <c r="AM68">
        <v>380</v>
      </c>
      <c r="AP68">
        <v>34.4</v>
      </c>
      <c r="AQ68">
        <v>494</v>
      </c>
      <c r="AT68">
        <v>23.9</v>
      </c>
      <c r="AU68">
        <v>494</v>
      </c>
      <c r="AX68">
        <v>0.2</v>
      </c>
      <c r="AY68">
        <v>494</v>
      </c>
    </row>
    <row r="69" spans="1:51" x14ac:dyDescent="0.3">
      <c r="A69" s="1">
        <v>44629</v>
      </c>
      <c r="B69">
        <v>34.700000000000003</v>
      </c>
      <c r="C69">
        <v>20.8</v>
      </c>
      <c r="D69">
        <v>0.6</v>
      </c>
      <c r="E69">
        <f t="shared" si="3"/>
        <v>4</v>
      </c>
      <c r="F69">
        <f t="shared" si="4"/>
        <v>4</v>
      </c>
      <c r="G69">
        <f t="shared" si="5"/>
        <v>0</v>
      </c>
      <c r="V69" s="1">
        <v>44629</v>
      </c>
      <c r="W69">
        <v>34.700000000000003</v>
      </c>
      <c r="X69">
        <v>20.8</v>
      </c>
      <c r="Y69">
        <v>0.6</v>
      </c>
      <c r="Z69">
        <v>336</v>
      </c>
      <c r="AA69">
        <v>366</v>
      </c>
      <c r="AD69">
        <v>34.700000000000003</v>
      </c>
      <c r="AE69">
        <v>336</v>
      </c>
      <c r="AH69">
        <v>20.8</v>
      </c>
      <c r="AI69">
        <v>336</v>
      </c>
      <c r="AL69">
        <v>0.6</v>
      </c>
      <c r="AM69">
        <v>336</v>
      </c>
      <c r="AP69">
        <v>34.700000000000003</v>
      </c>
      <c r="AQ69">
        <v>366</v>
      </c>
      <c r="AT69">
        <v>20.8</v>
      </c>
      <c r="AU69">
        <v>366</v>
      </c>
      <c r="AX69">
        <v>0.6</v>
      </c>
      <c r="AY69">
        <v>366</v>
      </c>
    </row>
    <row r="70" spans="1:51" x14ac:dyDescent="0.3">
      <c r="A70" s="1">
        <v>44630</v>
      </c>
      <c r="B70">
        <v>27.2</v>
      </c>
      <c r="C70">
        <f>2*7.8</f>
        <v>15.6</v>
      </c>
      <c r="D70">
        <v>0.2</v>
      </c>
      <c r="E70">
        <f t="shared" si="3"/>
        <v>4</v>
      </c>
      <c r="F70">
        <f t="shared" si="4"/>
        <v>4</v>
      </c>
      <c r="G70">
        <f t="shared" si="5"/>
        <v>0</v>
      </c>
      <c r="V70" s="1">
        <v>44630</v>
      </c>
      <c r="W70">
        <v>27.2</v>
      </c>
      <c r="X70">
        <f>2*7.8</f>
        <v>15.6</v>
      </c>
      <c r="Y70">
        <v>0.2</v>
      </c>
      <c r="Z70">
        <v>580</v>
      </c>
      <c r="AA70">
        <v>490</v>
      </c>
      <c r="AD70">
        <v>27.2</v>
      </c>
      <c r="AE70">
        <v>580</v>
      </c>
      <c r="AH70">
        <f>2*7.8</f>
        <v>15.6</v>
      </c>
      <c r="AI70">
        <v>580</v>
      </c>
      <c r="AL70">
        <v>0.2</v>
      </c>
      <c r="AM70">
        <v>580</v>
      </c>
      <c r="AP70">
        <v>27.2</v>
      </c>
      <c r="AQ70">
        <v>490</v>
      </c>
      <c r="AT70">
        <f>2*7.8</f>
        <v>15.6</v>
      </c>
      <c r="AU70">
        <v>490</v>
      </c>
      <c r="AX70">
        <v>0.2</v>
      </c>
      <c r="AY70">
        <v>490</v>
      </c>
    </row>
    <row r="71" spans="1:51" x14ac:dyDescent="0.3">
      <c r="A71" s="1">
        <v>44631</v>
      </c>
      <c r="B71">
        <v>26.6</v>
      </c>
      <c r="C71">
        <v>14.7</v>
      </c>
      <c r="D71">
        <v>0</v>
      </c>
      <c r="E71">
        <f t="shared" si="3"/>
        <v>4</v>
      </c>
      <c r="F71">
        <f t="shared" si="4"/>
        <v>4</v>
      </c>
      <c r="G71">
        <f t="shared" si="5"/>
        <v>0</v>
      </c>
      <c r="V71" s="1">
        <v>44631</v>
      </c>
      <c r="W71">
        <v>26.6</v>
      </c>
      <c r="X71">
        <v>14.7</v>
      </c>
      <c r="Y71">
        <v>0</v>
      </c>
      <c r="Z71">
        <v>696</v>
      </c>
      <c r="AA71">
        <v>522</v>
      </c>
      <c r="AD71">
        <v>26.6</v>
      </c>
      <c r="AE71">
        <v>696</v>
      </c>
      <c r="AH71">
        <v>14.7</v>
      </c>
      <c r="AI71">
        <v>696</v>
      </c>
      <c r="AL71">
        <v>0</v>
      </c>
      <c r="AM71">
        <v>696</v>
      </c>
      <c r="AP71">
        <v>26.6</v>
      </c>
      <c r="AQ71">
        <v>522</v>
      </c>
      <c r="AT71">
        <v>14.7</v>
      </c>
      <c r="AU71">
        <v>522</v>
      </c>
      <c r="AX71">
        <v>0</v>
      </c>
      <c r="AY71">
        <v>522</v>
      </c>
    </row>
    <row r="72" spans="1:51" x14ac:dyDescent="0.3">
      <c r="A72" s="1">
        <v>44632</v>
      </c>
      <c r="B72">
        <v>27.5</v>
      </c>
      <c r="C72">
        <v>18</v>
      </c>
      <c r="D72">
        <v>0</v>
      </c>
      <c r="E72">
        <f t="shared" si="3"/>
        <v>4</v>
      </c>
      <c r="F72">
        <f t="shared" si="4"/>
        <v>4</v>
      </c>
      <c r="G72">
        <f t="shared" si="5"/>
        <v>0</v>
      </c>
      <c r="V72" s="1">
        <v>44632</v>
      </c>
      <c r="W72">
        <v>27.5</v>
      </c>
      <c r="X72">
        <v>18</v>
      </c>
      <c r="Y72">
        <v>0</v>
      </c>
      <c r="Z72">
        <v>524</v>
      </c>
      <c r="AA72">
        <v>531</v>
      </c>
      <c r="AD72">
        <v>27.5</v>
      </c>
      <c r="AE72">
        <v>524</v>
      </c>
      <c r="AH72">
        <v>18</v>
      </c>
      <c r="AI72">
        <v>524</v>
      </c>
      <c r="AL72">
        <v>0</v>
      </c>
      <c r="AM72">
        <v>524</v>
      </c>
      <c r="AP72">
        <v>27.5</v>
      </c>
      <c r="AQ72">
        <v>531</v>
      </c>
      <c r="AT72">
        <v>18</v>
      </c>
      <c r="AU72">
        <v>531</v>
      </c>
      <c r="AX72">
        <v>0</v>
      </c>
      <c r="AY72">
        <v>531</v>
      </c>
    </row>
    <row r="73" spans="1:51" x14ac:dyDescent="0.3">
      <c r="A73" s="1">
        <v>44633</v>
      </c>
      <c r="B73">
        <v>28.7</v>
      </c>
      <c r="C73">
        <v>21.9</v>
      </c>
      <c r="D73">
        <v>0</v>
      </c>
      <c r="E73">
        <f t="shared" si="3"/>
        <v>4</v>
      </c>
      <c r="F73">
        <f t="shared" si="4"/>
        <v>4</v>
      </c>
      <c r="G73">
        <f t="shared" si="5"/>
        <v>0</v>
      </c>
      <c r="V73" s="1">
        <v>44633</v>
      </c>
      <c r="W73">
        <v>28.7</v>
      </c>
      <c r="X73">
        <v>21.9</v>
      </c>
      <c r="Y73">
        <v>0</v>
      </c>
      <c r="Z73">
        <v>595</v>
      </c>
      <c r="AA73">
        <v>635</v>
      </c>
      <c r="AD73">
        <v>28.7</v>
      </c>
      <c r="AE73">
        <v>595</v>
      </c>
      <c r="AH73">
        <v>21.9</v>
      </c>
      <c r="AI73">
        <v>595</v>
      </c>
      <c r="AL73">
        <v>0</v>
      </c>
      <c r="AM73">
        <v>595</v>
      </c>
      <c r="AP73">
        <v>28.7</v>
      </c>
      <c r="AQ73">
        <v>635</v>
      </c>
      <c r="AT73">
        <v>21.9</v>
      </c>
      <c r="AU73">
        <v>635</v>
      </c>
      <c r="AX73">
        <v>0</v>
      </c>
      <c r="AY73">
        <v>635</v>
      </c>
    </row>
    <row r="74" spans="1:51" x14ac:dyDescent="0.3">
      <c r="A74" s="1">
        <v>44634</v>
      </c>
      <c r="B74">
        <v>28.7</v>
      </c>
      <c r="C74">
        <v>21.2</v>
      </c>
      <c r="D74">
        <v>0</v>
      </c>
      <c r="E74">
        <f t="shared" si="3"/>
        <v>4</v>
      </c>
      <c r="F74">
        <f t="shared" si="4"/>
        <v>4</v>
      </c>
      <c r="G74">
        <f t="shared" si="5"/>
        <v>0</v>
      </c>
      <c r="V74" s="1">
        <v>44634</v>
      </c>
      <c r="W74">
        <v>28.7</v>
      </c>
      <c r="X74">
        <v>21.2</v>
      </c>
      <c r="Y74">
        <v>0</v>
      </c>
      <c r="Z74">
        <v>556</v>
      </c>
      <c r="AA74">
        <v>445</v>
      </c>
      <c r="AD74">
        <v>28.7</v>
      </c>
      <c r="AE74">
        <v>556</v>
      </c>
      <c r="AH74">
        <v>21.2</v>
      </c>
      <c r="AI74">
        <v>556</v>
      </c>
      <c r="AL74">
        <v>0</v>
      </c>
      <c r="AM74">
        <v>556</v>
      </c>
      <c r="AP74">
        <v>28.7</v>
      </c>
      <c r="AQ74">
        <v>445</v>
      </c>
      <c r="AT74">
        <v>21.2</v>
      </c>
      <c r="AU74">
        <v>445</v>
      </c>
      <c r="AX74">
        <v>0</v>
      </c>
      <c r="AY74">
        <v>445</v>
      </c>
    </row>
    <row r="75" spans="1:51" x14ac:dyDescent="0.3">
      <c r="A75" s="1">
        <v>44635</v>
      </c>
      <c r="B75">
        <v>27.6</v>
      </c>
      <c r="C75">
        <v>14.6</v>
      </c>
      <c r="D75">
        <v>0</v>
      </c>
      <c r="E75">
        <f t="shared" si="3"/>
        <v>4</v>
      </c>
      <c r="F75">
        <f t="shared" si="4"/>
        <v>4</v>
      </c>
      <c r="G75">
        <f t="shared" si="5"/>
        <v>0</v>
      </c>
      <c r="V75" s="1">
        <v>44635</v>
      </c>
      <c r="W75">
        <v>27.6</v>
      </c>
      <c r="X75">
        <v>14.6</v>
      </c>
      <c r="Y75">
        <v>0</v>
      </c>
      <c r="Z75">
        <v>670</v>
      </c>
      <c r="AA75">
        <v>583</v>
      </c>
      <c r="AD75">
        <v>27.6</v>
      </c>
      <c r="AE75">
        <v>670</v>
      </c>
      <c r="AH75">
        <v>14.6</v>
      </c>
      <c r="AI75">
        <v>670</v>
      </c>
      <c r="AL75">
        <v>0</v>
      </c>
      <c r="AM75">
        <v>670</v>
      </c>
      <c r="AP75">
        <v>27.6</v>
      </c>
      <c r="AQ75">
        <v>583</v>
      </c>
      <c r="AT75">
        <v>14.6</v>
      </c>
      <c r="AU75">
        <v>583</v>
      </c>
      <c r="AX75">
        <v>0</v>
      </c>
      <c r="AY75">
        <v>583</v>
      </c>
    </row>
    <row r="76" spans="1:51" x14ac:dyDescent="0.3">
      <c r="A76" s="1">
        <v>44636</v>
      </c>
      <c r="B76">
        <v>29.3</v>
      </c>
      <c r="C76">
        <v>19.8</v>
      </c>
      <c r="D76">
        <v>0</v>
      </c>
      <c r="E76">
        <f t="shared" si="3"/>
        <v>4</v>
      </c>
      <c r="F76">
        <f t="shared" si="4"/>
        <v>4</v>
      </c>
      <c r="G76">
        <f t="shared" si="5"/>
        <v>0</v>
      </c>
      <c r="V76" s="1">
        <v>44636</v>
      </c>
      <c r="W76">
        <v>29.3</v>
      </c>
      <c r="X76">
        <v>19.8</v>
      </c>
      <c r="Y76">
        <v>0</v>
      </c>
      <c r="Z76">
        <v>671</v>
      </c>
      <c r="AA76">
        <v>559</v>
      </c>
      <c r="AD76">
        <v>29.3</v>
      </c>
      <c r="AE76">
        <v>671</v>
      </c>
      <c r="AH76">
        <v>19.8</v>
      </c>
      <c r="AI76">
        <v>671</v>
      </c>
      <c r="AL76">
        <v>0</v>
      </c>
      <c r="AM76">
        <v>671</v>
      </c>
      <c r="AP76">
        <v>29.3</v>
      </c>
      <c r="AQ76">
        <v>559</v>
      </c>
      <c r="AT76">
        <v>19.8</v>
      </c>
      <c r="AU76">
        <v>559</v>
      </c>
      <c r="AX76">
        <v>0</v>
      </c>
      <c r="AY76">
        <v>559</v>
      </c>
    </row>
    <row r="77" spans="1:51" x14ac:dyDescent="0.3">
      <c r="A77" s="1">
        <v>44637</v>
      </c>
      <c r="B77">
        <v>30.5</v>
      </c>
      <c r="C77">
        <v>20.5</v>
      </c>
      <c r="D77">
        <v>0</v>
      </c>
      <c r="E77">
        <f t="shared" si="3"/>
        <v>4</v>
      </c>
      <c r="F77">
        <f t="shared" si="4"/>
        <v>4</v>
      </c>
      <c r="G77">
        <f t="shared" si="5"/>
        <v>0</v>
      </c>
      <c r="V77" s="1">
        <v>44637</v>
      </c>
      <c r="W77">
        <v>30.5</v>
      </c>
      <c r="X77">
        <v>20.5</v>
      </c>
      <c r="Y77">
        <v>0</v>
      </c>
      <c r="Z77">
        <v>657</v>
      </c>
      <c r="AA77">
        <v>496</v>
      </c>
      <c r="AD77">
        <v>30.5</v>
      </c>
      <c r="AE77">
        <v>657</v>
      </c>
      <c r="AH77">
        <v>20.5</v>
      </c>
      <c r="AI77">
        <v>657</v>
      </c>
      <c r="AL77">
        <v>0</v>
      </c>
      <c r="AM77">
        <v>657</v>
      </c>
      <c r="AP77">
        <v>30.5</v>
      </c>
      <c r="AQ77">
        <v>496</v>
      </c>
      <c r="AT77">
        <v>20.5</v>
      </c>
      <c r="AU77">
        <v>496</v>
      </c>
      <c r="AX77">
        <v>0</v>
      </c>
      <c r="AY77">
        <v>496</v>
      </c>
    </row>
    <row r="78" spans="1:51" x14ac:dyDescent="0.3">
      <c r="A78" s="1">
        <v>44638</v>
      </c>
      <c r="B78">
        <v>29.1</v>
      </c>
      <c r="C78">
        <v>22.1</v>
      </c>
      <c r="D78">
        <v>0.2</v>
      </c>
      <c r="E78">
        <f t="shared" si="3"/>
        <v>4</v>
      </c>
      <c r="F78">
        <f t="shared" si="4"/>
        <v>4</v>
      </c>
      <c r="G78">
        <f t="shared" si="5"/>
        <v>0</v>
      </c>
      <c r="V78" s="1">
        <v>44638</v>
      </c>
      <c r="W78">
        <v>29.1</v>
      </c>
      <c r="X78">
        <v>22.1</v>
      </c>
      <c r="Y78">
        <v>0.2</v>
      </c>
      <c r="Z78">
        <v>718</v>
      </c>
      <c r="AA78">
        <v>587</v>
      </c>
      <c r="AD78">
        <v>29.1</v>
      </c>
      <c r="AE78">
        <v>718</v>
      </c>
      <c r="AH78">
        <v>22.1</v>
      </c>
      <c r="AI78">
        <v>718</v>
      </c>
      <c r="AL78">
        <v>0.2</v>
      </c>
      <c r="AM78">
        <v>718</v>
      </c>
      <c r="AP78">
        <v>29.1</v>
      </c>
      <c r="AQ78">
        <v>587</v>
      </c>
      <c r="AT78">
        <v>22.1</v>
      </c>
      <c r="AU78">
        <v>587</v>
      </c>
      <c r="AX78">
        <v>0.2</v>
      </c>
      <c r="AY78">
        <v>587</v>
      </c>
    </row>
    <row r="79" spans="1:51" x14ac:dyDescent="0.3">
      <c r="A79" s="1">
        <v>44639</v>
      </c>
      <c r="B79">
        <v>29.2</v>
      </c>
      <c r="C79">
        <v>21.4</v>
      </c>
      <c r="D79">
        <v>0</v>
      </c>
      <c r="E79">
        <f t="shared" si="3"/>
        <v>4</v>
      </c>
      <c r="F79">
        <f t="shared" si="4"/>
        <v>4</v>
      </c>
      <c r="G79">
        <f t="shared" si="5"/>
        <v>0</v>
      </c>
      <c r="V79" s="1">
        <v>44639</v>
      </c>
      <c r="W79">
        <v>29.2</v>
      </c>
      <c r="X79">
        <v>21.4</v>
      </c>
      <c r="Y79">
        <v>0</v>
      </c>
      <c r="Z79">
        <v>601</v>
      </c>
      <c r="AA79">
        <v>696</v>
      </c>
      <c r="AD79">
        <v>29.2</v>
      </c>
      <c r="AE79">
        <v>601</v>
      </c>
      <c r="AH79">
        <v>21.4</v>
      </c>
      <c r="AI79">
        <v>601</v>
      </c>
      <c r="AL79">
        <v>0</v>
      </c>
      <c r="AM79">
        <v>601</v>
      </c>
      <c r="AP79">
        <v>29.2</v>
      </c>
      <c r="AQ79">
        <v>696</v>
      </c>
      <c r="AT79">
        <v>21.4</v>
      </c>
      <c r="AU79">
        <v>696</v>
      </c>
      <c r="AX79">
        <v>0</v>
      </c>
      <c r="AY79">
        <v>696</v>
      </c>
    </row>
    <row r="80" spans="1:51" x14ac:dyDescent="0.3">
      <c r="A80" s="1">
        <v>44640</v>
      </c>
      <c r="B80">
        <v>28.7</v>
      </c>
      <c r="C80">
        <v>19.899999999999999</v>
      </c>
      <c r="D80">
        <v>0</v>
      </c>
      <c r="E80">
        <f t="shared" si="3"/>
        <v>4</v>
      </c>
      <c r="F80">
        <f t="shared" si="4"/>
        <v>4</v>
      </c>
      <c r="G80">
        <f t="shared" si="5"/>
        <v>0</v>
      </c>
      <c r="V80" s="1">
        <v>44640</v>
      </c>
      <c r="W80">
        <v>28.7</v>
      </c>
      <c r="X80">
        <v>19.899999999999999</v>
      </c>
      <c r="Y80">
        <v>0</v>
      </c>
      <c r="Z80">
        <v>600</v>
      </c>
      <c r="AA80">
        <v>801</v>
      </c>
      <c r="AD80">
        <v>28.7</v>
      </c>
      <c r="AE80">
        <v>600</v>
      </c>
      <c r="AH80">
        <v>19.899999999999999</v>
      </c>
      <c r="AI80">
        <v>600</v>
      </c>
      <c r="AL80">
        <v>0</v>
      </c>
      <c r="AM80">
        <v>600</v>
      </c>
      <c r="AP80">
        <v>28.7</v>
      </c>
      <c r="AQ80">
        <v>801</v>
      </c>
      <c r="AT80">
        <v>19.899999999999999</v>
      </c>
      <c r="AU80">
        <v>801</v>
      </c>
      <c r="AX80">
        <v>0</v>
      </c>
      <c r="AY80">
        <v>801</v>
      </c>
    </row>
    <row r="81" spans="1:51" x14ac:dyDescent="0.3">
      <c r="A81" s="1">
        <v>44641</v>
      </c>
      <c r="B81">
        <v>29.8</v>
      </c>
      <c r="C81">
        <v>22.5</v>
      </c>
      <c r="D81">
        <v>0</v>
      </c>
      <c r="E81">
        <f t="shared" si="3"/>
        <v>4</v>
      </c>
      <c r="F81">
        <f t="shared" si="4"/>
        <v>4</v>
      </c>
      <c r="G81">
        <f t="shared" si="5"/>
        <v>0</v>
      </c>
      <c r="V81" s="1">
        <v>44641</v>
      </c>
      <c r="W81">
        <v>29.8</v>
      </c>
      <c r="X81">
        <v>22.5</v>
      </c>
      <c r="Y81">
        <v>0</v>
      </c>
      <c r="Z81">
        <v>508</v>
      </c>
      <c r="AA81">
        <v>458</v>
      </c>
      <c r="AD81">
        <v>29.8</v>
      </c>
      <c r="AE81">
        <v>508</v>
      </c>
      <c r="AH81">
        <v>22.5</v>
      </c>
      <c r="AI81">
        <v>508</v>
      </c>
      <c r="AL81">
        <v>0</v>
      </c>
      <c r="AM81">
        <v>508</v>
      </c>
      <c r="AP81">
        <v>29.8</v>
      </c>
      <c r="AQ81">
        <v>458</v>
      </c>
      <c r="AT81">
        <v>22.5</v>
      </c>
      <c r="AU81">
        <v>458</v>
      </c>
      <c r="AX81">
        <v>0</v>
      </c>
      <c r="AY81">
        <v>458</v>
      </c>
    </row>
    <row r="82" spans="1:51" x14ac:dyDescent="0.3">
      <c r="A82" s="1">
        <v>44642</v>
      </c>
      <c r="B82">
        <v>29.8</v>
      </c>
      <c r="C82">
        <v>22.8</v>
      </c>
      <c r="D82">
        <v>0</v>
      </c>
      <c r="E82">
        <f t="shared" si="3"/>
        <v>4</v>
      </c>
      <c r="F82">
        <f t="shared" si="4"/>
        <v>4</v>
      </c>
      <c r="G82">
        <f t="shared" si="5"/>
        <v>0</v>
      </c>
      <c r="V82" s="1">
        <v>44642</v>
      </c>
      <c r="W82">
        <v>29.8</v>
      </c>
      <c r="X82">
        <v>22.8</v>
      </c>
      <c r="Y82">
        <v>0</v>
      </c>
      <c r="Z82">
        <v>713</v>
      </c>
      <c r="AA82">
        <v>589</v>
      </c>
      <c r="AD82">
        <v>29.8</v>
      </c>
      <c r="AE82">
        <v>713</v>
      </c>
      <c r="AH82">
        <v>22.8</v>
      </c>
      <c r="AI82">
        <v>713</v>
      </c>
      <c r="AL82">
        <v>0</v>
      </c>
      <c r="AM82">
        <v>713</v>
      </c>
      <c r="AP82">
        <v>29.8</v>
      </c>
      <c r="AQ82">
        <v>589</v>
      </c>
      <c r="AT82">
        <v>22.8</v>
      </c>
      <c r="AU82">
        <v>589</v>
      </c>
      <c r="AX82">
        <v>0</v>
      </c>
      <c r="AY82">
        <v>589</v>
      </c>
    </row>
    <row r="83" spans="1:51" x14ac:dyDescent="0.3">
      <c r="A83" s="1">
        <v>44643</v>
      </c>
      <c r="B83">
        <v>30.9</v>
      </c>
      <c r="C83">
        <v>23</v>
      </c>
      <c r="D83">
        <v>0</v>
      </c>
      <c r="E83">
        <f t="shared" si="3"/>
        <v>4</v>
      </c>
      <c r="F83">
        <f t="shared" si="4"/>
        <v>4</v>
      </c>
      <c r="G83">
        <f t="shared" si="5"/>
        <v>0</v>
      </c>
      <c r="V83" s="1">
        <v>44643</v>
      </c>
      <c r="W83">
        <v>30.9</v>
      </c>
      <c r="X83">
        <v>23</v>
      </c>
      <c r="Y83">
        <v>0</v>
      </c>
      <c r="Z83">
        <v>664</v>
      </c>
      <c r="AA83">
        <v>599</v>
      </c>
      <c r="AD83">
        <v>30.9</v>
      </c>
      <c r="AE83">
        <v>664</v>
      </c>
      <c r="AH83">
        <v>23</v>
      </c>
      <c r="AI83">
        <v>664</v>
      </c>
      <c r="AL83">
        <v>0</v>
      </c>
      <c r="AM83">
        <v>664</v>
      </c>
      <c r="AP83">
        <v>30.9</v>
      </c>
      <c r="AQ83">
        <v>599</v>
      </c>
      <c r="AT83">
        <v>23</v>
      </c>
      <c r="AU83">
        <v>599</v>
      </c>
      <c r="AX83">
        <v>0</v>
      </c>
      <c r="AY83">
        <v>599</v>
      </c>
    </row>
    <row r="84" spans="1:51" x14ac:dyDescent="0.3">
      <c r="A84" s="1">
        <v>44644</v>
      </c>
      <c r="B84">
        <v>30.6</v>
      </c>
      <c r="C84">
        <v>22.1</v>
      </c>
      <c r="D84">
        <v>0</v>
      </c>
      <c r="E84">
        <f t="shared" si="3"/>
        <v>4</v>
      </c>
      <c r="F84">
        <f t="shared" si="4"/>
        <v>4</v>
      </c>
      <c r="G84">
        <f t="shared" si="5"/>
        <v>0</v>
      </c>
      <c r="V84" s="1">
        <v>44644</v>
      </c>
      <c r="W84">
        <v>30.6</v>
      </c>
      <c r="X84">
        <v>22.1</v>
      </c>
      <c r="Y84">
        <v>0</v>
      </c>
      <c r="Z84">
        <v>633</v>
      </c>
      <c r="AA84">
        <v>614</v>
      </c>
      <c r="AD84">
        <v>30.6</v>
      </c>
      <c r="AE84">
        <v>633</v>
      </c>
      <c r="AH84">
        <v>22.1</v>
      </c>
      <c r="AI84">
        <v>633</v>
      </c>
      <c r="AL84">
        <v>0</v>
      </c>
      <c r="AM84">
        <v>633</v>
      </c>
      <c r="AP84">
        <v>30.6</v>
      </c>
      <c r="AQ84">
        <v>614</v>
      </c>
      <c r="AT84">
        <v>22.1</v>
      </c>
      <c r="AU84">
        <v>614</v>
      </c>
      <c r="AX84">
        <v>0</v>
      </c>
      <c r="AY84">
        <v>614</v>
      </c>
    </row>
    <row r="85" spans="1:51" x14ac:dyDescent="0.3">
      <c r="A85" s="1">
        <v>44645</v>
      </c>
      <c r="B85">
        <v>30.4</v>
      </c>
      <c r="C85">
        <v>21.3</v>
      </c>
      <c r="D85">
        <v>0</v>
      </c>
      <c r="E85">
        <f t="shared" si="3"/>
        <v>4</v>
      </c>
      <c r="F85">
        <f t="shared" si="4"/>
        <v>4</v>
      </c>
      <c r="G85">
        <f t="shared" si="5"/>
        <v>0</v>
      </c>
      <c r="V85" s="1">
        <v>44645</v>
      </c>
      <c r="W85">
        <v>30.4</v>
      </c>
      <c r="X85">
        <v>21.3</v>
      </c>
      <c r="Y85">
        <v>0</v>
      </c>
      <c r="Z85">
        <v>591</v>
      </c>
      <c r="AA85">
        <v>581</v>
      </c>
      <c r="AD85">
        <v>30.4</v>
      </c>
      <c r="AE85">
        <v>591</v>
      </c>
      <c r="AH85">
        <v>21.3</v>
      </c>
      <c r="AI85">
        <v>591</v>
      </c>
      <c r="AL85">
        <v>0</v>
      </c>
      <c r="AM85">
        <v>591</v>
      </c>
      <c r="AP85">
        <v>30.4</v>
      </c>
      <c r="AQ85">
        <v>581</v>
      </c>
      <c r="AT85">
        <v>21.3</v>
      </c>
      <c r="AU85">
        <v>581</v>
      </c>
      <c r="AX85">
        <v>0</v>
      </c>
      <c r="AY85">
        <v>581</v>
      </c>
    </row>
    <row r="86" spans="1:51" x14ac:dyDescent="0.3">
      <c r="A86" s="1">
        <v>44646</v>
      </c>
      <c r="B86">
        <v>27.6</v>
      </c>
      <c r="C86">
        <v>15.9</v>
      </c>
      <c r="D86">
        <v>56.2</v>
      </c>
      <c r="E86">
        <f t="shared" si="3"/>
        <v>4</v>
      </c>
      <c r="F86">
        <f t="shared" si="4"/>
        <v>4</v>
      </c>
      <c r="G86">
        <f t="shared" si="5"/>
        <v>0</v>
      </c>
      <c r="V86" s="1">
        <v>44646</v>
      </c>
      <c r="W86">
        <v>27.6</v>
      </c>
      <c r="X86">
        <v>15.9</v>
      </c>
      <c r="Y86">
        <v>56.2</v>
      </c>
      <c r="Z86">
        <v>615</v>
      </c>
      <c r="AA86">
        <v>554</v>
      </c>
      <c r="AD86">
        <v>27.6</v>
      </c>
      <c r="AE86">
        <v>615</v>
      </c>
      <c r="AH86">
        <v>15.9</v>
      </c>
      <c r="AI86">
        <v>615</v>
      </c>
      <c r="AL86">
        <v>56.2</v>
      </c>
      <c r="AM86">
        <v>615</v>
      </c>
      <c r="AP86">
        <v>27.6</v>
      </c>
      <c r="AQ86">
        <v>554</v>
      </c>
      <c r="AT86">
        <v>15.9</v>
      </c>
      <c r="AU86">
        <v>554</v>
      </c>
      <c r="AX86">
        <v>56.2</v>
      </c>
      <c r="AY86">
        <v>554</v>
      </c>
    </row>
    <row r="87" spans="1:51" x14ac:dyDescent="0.3">
      <c r="A87" s="1">
        <v>44647</v>
      </c>
      <c r="B87">
        <v>28.5</v>
      </c>
      <c r="C87">
        <v>19.100000000000001</v>
      </c>
      <c r="D87">
        <v>6.2</v>
      </c>
      <c r="E87">
        <f t="shared" si="3"/>
        <v>4</v>
      </c>
      <c r="F87">
        <f t="shared" si="4"/>
        <v>4</v>
      </c>
      <c r="G87">
        <f t="shared" si="5"/>
        <v>0</v>
      </c>
      <c r="V87" s="1">
        <v>44647</v>
      </c>
      <c r="W87">
        <v>28.5</v>
      </c>
      <c r="X87">
        <v>19.100000000000001</v>
      </c>
      <c r="Y87">
        <v>6.2</v>
      </c>
      <c r="Z87">
        <v>570</v>
      </c>
      <c r="AA87">
        <v>640</v>
      </c>
      <c r="AD87">
        <v>28.5</v>
      </c>
      <c r="AE87">
        <v>570</v>
      </c>
      <c r="AH87">
        <v>19.100000000000001</v>
      </c>
      <c r="AI87">
        <v>570</v>
      </c>
      <c r="AL87">
        <v>6.2</v>
      </c>
      <c r="AM87">
        <v>570</v>
      </c>
      <c r="AP87">
        <v>28.5</v>
      </c>
      <c r="AQ87">
        <v>640</v>
      </c>
      <c r="AT87">
        <v>19.100000000000001</v>
      </c>
      <c r="AU87">
        <v>640</v>
      </c>
      <c r="AX87">
        <v>6.2</v>
      </c>
      <c r="AY87">
        <v>640</v>
      </c>
    </row>
    <row r="88" spans="1:51" x14ac:dyDescent="0.3">
      <c r="A88" s="1">
        <v>44648</v>
      </c>
      <c r="B88">
        <v>21.9</v>
      </c>
      <c r="C88">
        <v>3.9</v>
      </c>
      <c r="D88">
        <v>44.6</v>
      </c>
      <c r="E88">
        <f t="shared" si="3"/>
        <v>4</v>
      </c>
      <c r="F88">
        <f t="shared" si="4"/>
        <v>4</v>
      </c>
      <c r="G88">
        <f t="shared" si="5"/>
        <v>0</v>
      </c>
      <c r="V88" s="1">
        <v>44648</v>
      </c>
      <c r="W88">
        <v>21.9</v>
      </c>
      <c r="X88">
        <v>3.9</v>
      </c>
      <c r="Y88">
        <v>44.6</v>
      </c>
      <c r="Z88">
        <v>110</v>
      </c>
      <c r="AA88">
        <v>100</v>
      </c>
      <c r="AD88">
        <v>21.9</v>
      </c>
      <c r="AE88">
        <v>110</v>
      </c>
      <c r="AH88">
        <v>3.9</v>
      </c>
      <c r="AI88">
        <v>110</v>
      </c>
      <c r="AL88">
        <v>44.6</v>
      </c>
      <c r="AM88">
        <v>110</v>
      </c>
      <c r="AP88">
        <v>21.9</v>
      </c>
      <c r="AQ88">
        <v>100</v>
      </c>
      <c r="AT88">
        <v>3.9</v>
      </c>
      <c r="AU88">
        <v>100</v>
      </c>
      <c r="AX88">
        <v>44.6</v>
      </c>
      <c r="AY88">
        <v>100</v>
      </c>
    </row>
    <row r="89" spans="1:51" x14ac:dyDescent="0.3">
      <c r="A89" s="1">
        <v>44649</v>
      </c>
      <c r="B89">
        <v>25.4</v>
      </c>
      <c r="C89">
        <v>9</v>
      </c>
      <c r="D89">
        <v>63.8</v>
      </c>
      <c r="E89">
        <f t="shared" si="3"/>
        <v>4</v>
      </c>
      <c r="F89">
        <f t="shared" si="4"/>
        <v>4</v>
      </c>
      <c r="G89">
        <f t="shared" si="5"/>
        <v>0</v>
      </c>
      <c r="V89" s="1">
        <v>44649</v>
      </c>
      <c r="W89">
        <v>25.4</v>
      </c>
      <c r="X89">
        <v>9</v>
      </c>
      <c r="Y89">
        <v>63.8</v>
      </c>
      <c r="Z89">
        <v>253</v>
      </c>
      <c r="AA89">
        <v>122</v>
      </c>
      <c r="AD89">
        <v>25.4</v>
      </c>
      <c r="AE89">
        <v>253</v>
      </c>
      <c r="AH89">
        <v>9</v>
      </c>
      <c r="AI89">
        <v>253</v>
      </c>
      <c r="AL89">
        <v>63.8</v>
      </c>
      <c r="AM89">
        <v>253</v>
      </c>
      <c r="AP89">
        <v>25.4</v>
      </c>
      <c r="AQ89">
        <v>122</v>
      </c>
      <c r="AT89">
        <v>9</v>
      </c>
      <c r="AU89">
        <v>122</v>
      </c>
      <c r="AX89">
        <v>63.8</v>
      </c>
      <c r="AY89">
        <v>122</v>
      </c>
    </row>
    <row r="90" spans="1:51" x14ac:dyDescent="0.3">
      <c r="A90" s="1">
        <v>44650</v>
      </c>
      <c r="B90">
        <v>27.5</v>
      </c>
      <c r="C90">
        <v>14.2</v>
      </c>
      <c r="D90">
        <v>13.8</v>
      </c>
      <c r="E90">
        <f t="shared" si="3"/>
        <v>4</v>
      </c>
      <c r="F90">
        <f t="shared" si="4"/>
        <v>4</v>
      </c>
      <c r="G90">
        <f t="shared" si="5"/>
        <v>0</v>
      </c>
      <c r="V90" s="1">
        <v>44650</v>
      </c>
      <c r="W90">
        <v>27.5</v>
      </c>
      <c r="X90">
        <v>14.2</v>
      </c>
      <c r="Y90">
        <v>13.8</v>
      </c>
      <c r="Z90">
        <v>367</v>
      </c>
      <c r="AA90">
        <v>348</v>
      </c>
      <c r="AD90">
        <v>27.5</v>
      </c>
      <c r="AE90">
        <v>367</v>
      </c>
      <c r="AH90">
        <v>14.2</v>
      </c>
      <c r="AI90">
        <v>367</v>
      </c>
      <c r="AL90">
        <v>13.8</v>
      </c>
      <c r="AM90">
        <v>367</v>
      </c>
      <c r="AP90">
        <v>27.5</v>
      </c>
      <c r="AQ90">
        <v>348</v>
      </c>
      <c r="AT90">
        <v>14.2</v>
      </c>
      <c r="AU90">
        <v>348</v>
      </c>
      <c r="AX90">
        <v>13.8</v>
      </c>
      <c r="AY90">
        <v>348</v>
      </c>
    </row>
    <row r="91" spans="1:51" x14ac:dyDescent="0.3">
      <c r="A91" s="1">
        <v>44651</v>
      </c>
      <c r="B91">
        <v>28.9</v>
      </c>
      <c r="C91">
        <v>15.8</v>
      </c>
      <c r="D91">
        <v>0</v>
      </c>
      <c r="E91">
        <f t="shared" si="3"/>
        <v>4</v>
      </c>
      <c r="F91">
        <f t="shared" si="4"/>
        <v>4</v>
      </c>
      <c r="G91">
        <f t="shared" si="5"/>
        <v>0</v>
      </c>
      <c r="V91" s="1">
        <v>44651</v>
      </c>
      <c r="W91">
        <v>28.9</v>
      </c>
      <c r="X91">
        <v>15.8</v>
      </c>
      <c r="Y91">
        <v>0</v>
      </c>
      <c r="Z91">
        <v>606</v>
      </c>
      <c r="AA91">
        <v>599</v>
      </c>
      <c r="AD91">
        <v>28.9</v>
      </c>
      <c r="AE91">
        <v>606</v>
      </c>
      <c r="AH91">
        <v>15.8</v>
      </c>
      <c r="AI91">
        <v>606</v>
      </c>
      <c r="AL91">
        <v>0</v>
      </c>
      <c r="AM91">
        <v>606</v>
      </c>
      <c r="AP91">
        <v>28.9</v>
      </c>
      <c r="AQ91">
        <v>599</v>
      </c>
      <c r="AT91">
        <v>15.8</v>
      </c>
      <c r="AU91">
        <v>599</v>
      </c>
      <c r="AX91">
        <v>0</v>
      </c>
      <c r="AY91">
        <v>599</v>
      </c>
    </row>
    <row r="92" spans="1:51" x14ac:dyDescent="0.3">
      <c r="A92" s="1">
        <v>44652</v>
      </c>
      <c r="B92">
        <v>28.5</v>
      </c>
      <c r="C92">
        <v>21.4</v>
      </c>
      <c r="D92">
        <v>0</v>
      </c>
      <c r="E92">
        <f t="shared" si="3"/>
        <v>4</v>
      </c>
      <c r="F92">
        <f t="shared" si="4"/>
        <v>4</v>
      </c>
      <c r="G92">
        <f t="shared" si="5"/>
        <v>0</v>
      </c>
      <c r="V92" s="1">
        <v>44652</v>
      </c>
      <c r="W92">
        <v>28.5</v>
      </c>
      <c r="X92">
        <v>21.4</v>
      </c>
      <c r="Y92">
        <v>0</v>
      </c>
      <c r="Z92">
        <v>697</v>
      </c>
      <c r="AA92">
        <v>630</v>
      </c>
      <c r="AD92">
        <v>28.5</v>
      </c>
      <c r="AE92">
        <v>697</v>
      </c>
      <c r="AH92">
        <v>21.4</v>
      </c>
      <c r="AI92">
        <v>697</v>
      </c>
      <c r="AL92">
        <v>0</v>
      </c>
      <c r="AM92">
        <v>697</v>
      </c>
      <c r="AP92">
        <v>28.5</v>
      </c>
      <c r="AQ92">
        <v>630</v>
      </c>
      <c r="AT92">
        <v>21.4</v>
      </c>
      <c r="AU92">
        <v>630</v>
      </c>
      <c r="AX92">
        <v>0</v>
      </c>
      <c r="AY92">
        <v>630</v>
      </c>
    </row>
    <row r="93" spans="1:51" x14ac:dyDescent="0.3">
      <c r="A93" s="1">
        <v>44653</v>
      </c>
      <c r="B93">
        <v>27.6</v>
      </c>
      <c r="C93">
        <v>18.3</v>
      </c>
      <c r="D93">
        <v>0</v>
      </c>
      <c r="E93">
        <f t="shared" si="3"/>
        <v>4</v>
      </c>
      <c r="F93">
        <f t="shared" si="4"/>
        <v>4</v>
      </c>
      <c r="G93">
        <f t="shared" si="5"/>
        <v>0</v>
      </c>
      <c r="V93" s="1">
        <v>44653</v>
      </c>
      <c r="W93">
        <v>27.6</v>
      </c>
      <c r="X93">
        <v>18.3</v>
      </c>
      <c r="Y93">
        <v>0</v>
      </c>
      <c r="Z93">
        <v>586</v>
      </c>
      <c r="AA93">
        <v>676</v>
      </c>
      <c r="AD93">
        <v>27.6</v>
      </c>
      <c r="AE93">
        <v>586</v>
      </c>
      <c r="AH93">
        <v>18.3</v>
      </c>
      <c r="AI93">
        <v>586</v>
      </c>
      <c r="AL93">
        <v>0</v>
      </c>
      <c r="AM93">
        <v>586</v>
      </c>
      <c r="AP93">
        <v>27.6</v>
      </c>
      <c r="AQ93">
        <v>676</v>
      </c>
      <c r="AT93">
        <v>18.3</v>
      </c>
      <c r="AU93">
        <v>676</v>
      </c>
      <c r="AX93">
        <v>0</v>
      </c>
      <c r="AY93">
        <v>676</v>
      </c>
    </row>
    <row r="94" spans="1:51" x14ac:dyDescent="0.3">
      <c r="A94" s="1">
        <v>44654</v>
      </c>
      <c r="B94">
        <v>29.4</v>
      </c>
      <c r="C94">
        <v>20.8</v>
      </c>
      <c r="D94">
        <v>0</v>
      </c>
      <c r="E94">
        <f t="shared" si="3"/>
        <v>4</v>
      </c>
      <c r="F94">
        <f t="shared" si="4"/>
        <v>4</v>
      </c>
      <c r="G94">
        <f t="shared" si="5"/>
        <v>0</v>
      </c>
      <c r="V94" s="1">
        <v>44654</v>
      </c>
      <c r="W94">
        <v>29.4</v>
      </c>
      <c r="X94">
        <v>20.8</v>
      </c>
      <c r="Y94">
        <v>0</v>
      </c>
      <c r="Z94">
        <v>590</v>
      </c>
      <c r="AA94">
        <v>762</v>
      </c>
      <c r="AD94">
        <v>29.4</v>
      </c>
      <c r="AE94">
        <v>590</v>
      </c>
      <c r="AH94">
        <v>20.8</v>
      </c>
      <c r="AI94">
        <v>590</v>
      </c>
      <c r="AL94">
        <v>0</v>
      </c>
      <c r="AM94">
        <v>590</v>
      </c>
      <c r="AP94">
        <v>29.4</v>
      </c>
      <c r="AQ94">
        <v>762</v>
      </c>
      <c r="AT94">
        <v>20.8</v>
      </c>
      <c r="AU94">
        <v>762</v>
      </c>
      <c r="AX94">
        <v>0</v>
      </c>
      <c r="AY94">
        <v>762</v>
      </c>
    </row>
    <row r="95" spans="1:51" x14ac:dyDescent="0.3">
      <c r="A95" s="1">
        <v>44655</v>
      </c>
      <c r="B95">
        <v>28.6</v>
      </c>
      <c r="C95">
        <v>16.7</v>
      </c>
      <c r="D95">
        <v>0</v>
      </c>
      <c r="E95">
        <f t="shared" si="3"/>
        <v>4</v>
      </c>
      <c r="F95">
        <f t="shared" si="4"/>
        <v>4</v>
      </c>
      <c r="G95">
        <f t="shared" si="5"/>
        <v>0</v>
      </c>
      <c r="V95" s="1">
        <v>44655</v>
      </c>
      <c r="W95">
        <v>28.6</v>
      </c>
      <c r="X95">
        <v>16.7</v>
      </c>
      <c r="Y95">
        <v>0</v>
      </c>
      <c r="Z95">
        <v>429</v>
      </c>
      <c r="AA95">
        <v>424</v>
      </c>
      <c r="AD95">
        <v>28.6</v>
      </c>
      <c r="AE95">
        <v>429</v>
      </c>
      <c r="AH95">
        <v>16.7</v>
      </c>
      <c r="AI95">
        <v>429</v>
      </c>
      <c r="AL95">
        <v>0</v>
      </c>
      <c r="AM95">
        <v>429</v>
      </c>
      <c r="AP95">
        <v>28.6</v>
      </c>
      <c r="AQ95">
        <v>424</v>
      </c>
      <c r="AT95">
        <v>16.7</v>
      </c>
      <c r="AU95">
        <v>424</v>
      </c>
      <c r="AX95">
        <v>0</v>
      </c>
      <c r="AY95">
        <v>424</v>
      </c>
    </row>
    <row r="96" spans="1:51" x14ac:dyDescent="0.3">
      <c r="A96" s="1">
        <v>44656</v>
      </c>
      <c r="B96">
        <v>30.2</v>
      </c>
      <c r="C96">
        <v>20.9</v>
      </c>
      <c r="D96">
        <v>0</v>
      </c>
      <c r="E96">
        <f t="shared" si="3"/>
        <v>4</v>
      </c>
      <c r="F96">
        <f t="shared" si="4"/>
        <v>4</v>
      </c>
      <c r="G96">
        <f t="shared" si="5"/>
        <v>0</v>
      </c>
      <c r="V96" s="1">
        <v>44656</v>
      </c>
      <c r="W96">
        <v>30.2</v>
      </c>
      <c r="X96">
        <v>20.9</v>
      </c>
      <c r="Y96">
        <v>0</v>
      </c>
      <c r="Z96">
        <v>628</v>
      </c>
      <c r="AA96">
        <v>635</v>
      </c>
      <c r="AD96">
        <v>30.2</v>
      </c>
      <c r="AE96">
        <v>628</v>
      </c>
      <c r="AH96">
        <v>20.9</v>
      </c>
      <c r="AI96">
        <v>628</v>
      </c>
      <c r="AL96">
        <v>0</v>
      </c>
      <c r="AM96">
        <v>628</v>
      </c>
      <c r="AP96">
        <v>30.2</v>
      </c>
      <c r="AQ96">
        <v>635</v>
      </c>
      <c r="AT96">
        <v>20.9</v>
      </c>
      <c r="AU96">
        <v>635</v>
      </c>
      <c r="AX96">
        <v>0</v>
      </c>
      <c r="AY96">
        <v>635</v>
      </c>
    </row>
    <row r="97" spans="1:51" x14ac:dyDescent="0.3">
      <c r="A97" s="1">
        <v>44657</v>
      </c>
      <c r="B97">
        <v>28.4</v>
      </c>
      <c r="C97">
        <v>18.600000000000001</v>
      </c>
      <c r="D97">
        <v>0</v>
      </c>
      <c r="E97">
        <f t="shared" si="3"/>
        <v>4</v>
      </c>
      <c r="F97">
        <f t="shared" si="4"/>
        <v>4</v>
      </c>
      <c r="G97">
        <f t="shared" si="5"/>
        <v>0</v>
      </c>
      <c r="V97" s="1">
        <v>44657</v>
      </c>
      <c r="W97">
        <v>28.4</v>
      </c>
      <c r="X97">
        <v>18.600000000000001</v>
      </c>
      <c r="Y97">
        <v>0</v>
      </c>
      <c r="Z97">
        <v>608</v>
      </c>
      <c r="AA97">
        <v>641</v>
      </c>
      <c r="AD97">
        <v>28.4</v>
      </c>
      <c r="AE97">
        <v>608</v>
      </c>
      <c r="AH97">
        <v>18.600000000000001</v>
      </c>
      <c r="AI97">
        <v>608</v>
      </c>
      <c r="AL97">
        <v>0</v>
      </c>
      <c r="AM97">
        <v>608</v>
      </c>
      <c r="AP97">
        <v>28.4</v>
      </c>
      <c r="AQ97">
        <v>641</v>
      </c>
      <c r="AT97">
        <v>18.600000000000001</v>
      </c>
      <c r="AU97">
        <v>641</v>
      </c>
      <c r="AX97">
        <v>0</v>
      </c>
      <c r="AY97">
        <v>641</v>
      </c>
    </row>
    <row r="98" spans="1:51" x14ac:dyDescent="0.3">
      <c r="A98" s="1">
        <v>44658</v>
      </c>
      <c r="B98">
        <v>27.7</v>
      </c>
      <c r="C98">
        <v>19.3</v>
      </c>
      <c r="D98">
        <v>1</v>
      </c>
      <c r="E98">
        <f t="shared" si="3"/>
        <v>4</v>
      </c>
      <c r="F98">
        <f t="shared" si="4"/>
        <v>4</v>
      </c>
      <c r="G98">
        <f t="shared" si="5"/>
        <v>0</v>
      </c>
      <c r="V98" s="1">
        <v>44658</v>
      </c>
      <c r="W98">
        <v>27.7</v>
      </c>
      <c r="X98">
        <v>19.3</v>
      </c>
      <c r="Y98">
        <v>1</v>
      </c>
      <c r="Z98">
        <v>466</v>
      </c>
      <c r="AA98">
        <v>394</v>
      </c>
      <c r="AD98">
        <v>27.7</v>
      </c>
      <c r="AE98">
        <v>466</v>
      </c>
      <c r="AH98">
        <v>19.3</v>
      </c>
      <c r="AI98">
        <v>466</v>
      </c>
      <c r="AL98">
        <v>1</v>
      </c>
      <c r="AM98">
        <v>466</v>
      </c>
      <c r="AP98">
        <v>27.7</v>
      </c>
      <c r="AQ98">
        <v>394</v>
      </c>
      <c r="AT98">
        <v>19.3</v>
      </c>
      <c r="AU98">
        <v>394</v>
      </c>
      <c r="AX98">
        <v>1</v>
      </c>
      <c r="AY98">
        <v>394</v>
      </c>
    </row>
    <row r="99" spans="1:51" x14ac:dyDescent="0.3">
      <c r="A99" s="1">
        <v>44659</v>
      </c>
      <c r="B99">
        <v>27.8</v>
      </c>
      <c r="C99">
        <v>18.5</v>
      </c>
      <c r="D99">
        <v>0</v>
      </c>
      <c r="E99">
        <f t="shared" si="3"/>
        <v>4</v>
      </c>
      <c r="F99">
        <f t="shared" si="4"/>
        <v>4</v>
      </c>
      <c r="G99">
        <f t="shared" si="5"/>
        <v>0</v>
      </c>
      <c r="V99" s="1">
        <v>44659</v>
      </c>
      <c r="W99">
        <v>27.8</v>
      </c>
      <c r="X99">
        <v>18.5</v>
      </c>
      <c r="Y99">
        <v>0</v>
      </c>
      <c r="Z99">
        <v>537</v>
      </c>
      <c r="AA99">
        <v>485</v>
      </c>
      <c r="AD99">
        <v>27.8</v>
      </c>
      <c r="AE99">
        <v>537</v>
      </c>
      <c r="AH99">
        <v>18.5</v>
      </c>
      <c r="AI99">
        <v>537</v>
      </c>
      <c r="AL99">
        <v>0</v>
      </c>
      <c r="AM99">
        <v>537</v>
      </c>
      <c r="AP99">
        <v>27.8</v>
      </c>
      <c r="AQ99">
        <v>485</v>
      </c>
      <c r="AT99">
        <v>18.5</v>
      </c>
      <c r="AU99">
        <v>485</v>
      </c>
      <c r="AX99">
        <v>0</v>
      </c>
      <c r="AY99">
        <v>485</v>
      </c>
    </row>
    <row r="100" spans="1:51" x14ac:dyDescent="0.3">
      <c r="A100" s="1">
        <v>44660</v>
      </c>
      <c r="B100">
        <v>26.6</v>
      </c>
      <c r="C100">
        <v>15.3</v>
      </c>
      <c r="D100">
        <v>2.2000000000000002</v>
      </c>
      <c r="E100">
        <f t="shared" si="3"/>
        <v>4</v>
      </c>
      <c r="F100">
        <f t="shared" si="4"/>
        <v>4</v>
      </c>
      <c r="G100">
        <f t="shared" si="5"/>
        <v>0</v>
      </c>
      <c r="V100" s="1">
        <v>44660</v>
      </c>
      <c r="W100">
        <v>26.6</v>
      </c>
      <c r="X100">
        <v>15.3</v>
      </c>
      <c r="Y100">
        <v>2.2000000000000002</v>
      </c>
      <c r="Z100">
        <v>427</v>
      </c>
      <c r="AA100">
        <v>371</v>
      </c>
      <c r="AD100">
        <v>26.6</v>
      </c>
      <c r="AE100">
        <v>427</v>
      </c>
      <c r="AH100">
        <v>15.3</v>
      </c>
      <c r="AI100">
        <v>427</v>
      </c>
      <c r="AL100">
        <v>2.2000000000000002</v>
      </c>
      <c r="AM100">
        <v>427</v>
      </c>
      <c r="AP100">
        <v>26.6</v>
      </c>
      <c r="AQ100">
        <v>371</v>
      </c>
      <c r="AT100">
        <v>15.3</v>
      </c>
      <c r="AU100">
        <v>371</v>
      </c>
      <c r="AX100">
        <v>2.2000000000000002</v>
      </c>
      <c r="AY100">
        <v>371</v>
      </c>
    </row>
    <row r="101" spans="1:51" x14ac:dyDescent="0.3">
      <c r="A101" s="1">
        <v>44661</v>
      </c>
      <c r="B101">
        <v>28.1</v>
      </c>
      <c r="C101">
        <v>18.899999999999999</v>
      </c>
      <c r="D101">
        <v>3.2</v>
      </c>
      <c r="E101">
        <f t="shared" si="3"/>
        <v>4</v>
      </c>
      <c r="F101">
        <f t="shared" si="4"/>
        <v>4</v>
      </c>
      <c r="G101">
        <f t="shared" si="5"/>
        <v>0</v>
      </c>
      <c r="V101" s="1">
        <v>44661</v>
      </c>
      <c r="W101">
        <v>28.1</v>
      </c>
      <c r="X101">
        <v>18.899999999999999</v>
      </c>
      <c r="Y101">
        <v>3.2</v>
      </c>
      <c r="Z101">
        <v>629</v>
      </c>
      <c r="AA101">
        <v>590</v>
      </c>
      <c r="AD101">
        <v>28.1</v>
      </c>
      <c r="AE101">
        <v>629</v>
      </c>
      <c r="AH101">
        <v>18.899999999999999</v>
      </c>
      <c r="AI101">
        <v>629</v>
      </c>
      <c r="AL101">
        <v>3.2</v>
      </c>
      <c r="AM101">
        <v>629</v>
      </c>
      <c r="AP101">
        <v>28.1</v>
      </c>
      <c r="AQ101">
        <v>590</v>
      </c>
      <c r="AT101">
        <v>18.899999999999999</v>
      </c>
      <c r="AU101">
        <v>590</v>
      </c>
      <c r="AX101">
        <v>3.2</v>
      </c>
      <c r="AY101">
        <v>590</v>
      </c>
    </row>
    <row r="102" spans="1:51" x14ac:dyDescent="0.3">
      <c r="A102" s="1">
        <v>44662</v>
      </c>
      <c r="B102">
        <v>29.5</v>
      </c>
      <c r="C102">
        <v>19.100000000000001</v>
      </c>
      <c r="D102">
        <v>0</v>
      </c>
      <c r="E102">
        <f t="shared" si="3"/>
        <v>4</v>
      </c>
      <c r="F102">
        <f t="shared" si="4"/>
        <v>4</v>
      </c>
      <c r="G102">
        <f t="shared" si="5"/>
        <v>0</v>
      </c>
      <c r="V102" s="1">
        <v>44662</v>
      </c>
      <c r="W102">
        <v>29.5</v>
      </c>
      <c r="X102">
        <v>19.100000000000001</v>
      </c>
      <c r="Y102">
        <v>0</v>
      </c>
      <c r="Z102">
        <v>400</v>
      </c>
      <c r="AA102">
        <v>449</v>
      </c>
      <c r="AD102">
        <v>29.5</v>
      </c>
      <c r="AE102">
        <v>400</v>
      </c>
      <c r="AH102">
        <v>19.100000000000001</v>
      </c>
      <c r="AI102">
        <v>400</v>
      </c>
      <c r="AL102">
        <v>0</v>
      </c>
      <c r="AM102">
        <v>400</v>
      </c>
      <c r="AP102">
        <v>29.5</v>
      </c>
      <c r="AQ102">
        <v>449</v>
      </c>
      <c r="AT102">
        <v>19.100000000000001</v>
      </c>
      <c r="AU102">
        <v>449</v>
      </c>
      <c r="AX102">
        <v>0</v>
      </c>
      <c r="AY102">
        <v>449</v>
      </c>
    </row>
    <row r="103" spans="1:51" x14ac:dyDescent="0.3">
      <c r="A103" s="1">
        <v>44663</v>
      </c>
      <c r="B103">
        <v>29.7</v>
      </c>
      <c r="C103">
        <v>16.8</v>
      </c>
      <c r="D103">
        <v>0</v>
      </c>
      <c r="E103">
        <f t="shared" si="3"/>
        <v>4</v>
      </c>
      <c r="F103">
        <f t="shared" si="4"/>
        <v>4</v>
      </c>
      <c r="G103">
        <f t="shared" si="5"/>
        <v>0</v>
      </c>
      <c r="V103" s="1">
        <v>44663</v>
      </c>
      <c r="W103">
        <v>29.7</v>
      </c>
      <c r="X103">
        <v>16.8</v>
      </c>
      <c r="Y103">
        <v>0</v>
      </c>
      <c r="Z103">
        <v>622</v>
      </c>
      <c r="AA103">
        <v>591</v>
      </c>
      <c r="AD103">
        <v>29.7</v>
      </c>
      <c r="AE103">
        <v>622</v>
      </c>
      <c r="AH103">
        <v>16.8</v>
      </c>
      <c r="AI103">
        <v>622</v>
      </c>
      <c r="AL103">
        <v>0</v>
      </c>
      <c r="AM103">
        <v>622</v>
      </c>
      <c r="AP103">
        <v>29.7</v>
      </c>
      <c r="AQ103">
        <v>591</v>
      </c>
      <c r="AT103">
        <v>16.8</v>
      </c>
      <c r="AU103">
        <v>591</v>
      </c>
      <c r="AX103">
        <v>0</v>
      </c>
      <c r="AY103">
        <v>591</v>
      </c>
    </row>
    <row r="104" spans="1:51" x14ac:dyDescent="0.3">
      <c r="A104" s="1">
        <v>44664</v>
      </c>
      <c r="B104">
        <v>27.1</v>
      </c>
      <c r="C104">
        <v>14.7</v>
      </c>
      <c r="D104">
        <v>0</v>
      </c>
      <c r="E104">
        <f t="shared" si="3"/>
        <v>4</v>
      </c>
      <c r="F104">
        <f t="shared" si="4"/>
        <v>4</v>
      </c>
      <c r="G104">
        <f t="shared" si="5"/>
        <v>0</v>
      </c>
      <c r="V104" s="1">
        <v>44664</v>
      </c>
      <c r="W104">
        <v>27.1</v>
      </c>
      <c r="X104">
        <v>14.7</v>
      </c>
      <c r="Y104">
        <v>0</v>
      </c>
      <c r="Z104">
        <v>524</v>
      </c>
      <c r="AA104">
        <v>517</v>
      </c>
      <c r="AD104">
        <v>27.1</v>
      </c>
      <c r="AE104">
        <v>524</v>
      </c>
      <c r="AH104">
        <v>14.7</v>
      </c>
      <c r="AI104">
        <v>524</v>
      </c>
      <c r="AL104">
        <v>0</v>
      </c>
      <c r="AM104">
        <v>524</v>
      </c>
      <c r="AP104">
        <v>27.1</v>
      </c>
      <c r="AQ104">
        <v>517</v>
      </c>
      <c r="AT104">
        <v>14.7</v>
      </c>
      <c r="AU104">
        <v>517</v>
      </c>
      <c r="AX104">
        <v>0</v>
      </c>
      <c r="AY104">
        <v>517</v>
      </c>
    </row>
    <row r="105" spans="1:51" x14ac:dyDescent="0.3">
      <c r="A105" s="1">
        <v>44665</v>
      </c>
      <c r="B105">
        <v>26.2</v>
      </c>
      <c r="C105">
        <v>16.899999999999999</v>
      </c>
      <c r="D105">
        <v>1.2</v>
      </c>
      <c r="E105">
        <f t="shared" si="3"/>
        <v>4</v>
      </c>
      <c r="F105">
        <f t="shared" si="4"/>
        <v>4</v>
      </c>
      <c r="G105">
        <f t="shared" si="5"/>
        <v>0</v>
      </c>
      <c r="V105" s="1">
        <v>44665</v>
      </c>
      <c r="W105">
        <v>26.2</v>
      </c>
      <c r="X105">
        <v>16.899999999999999</v>
      </c>
      <c r="Y105">
        <v>1.2</v>
      </c>
      <c r="Z105">
        <v>524</v>
      </c>
      <c r="AA105">
        <v>423</v>
      </c>
      <c r="AD105">
        <v>26.2</v>
      </c>
      <c r="AE105">
        <v>524</v>
      </c>
      <c r="AH105">
        <v>16.899999999999999</v>
      </c>
      <c r="AI105">
        <v>524</v>
      </c>
      <c r="AL105">
        <v>1.2</v>
      </c>
      <c r="AM105">
        <v>524</v>
      </c>
      <c r="AP105">
        <v>26.2</v>
      </c>
      <c r="AQ105">
        <v>423</v>
      </c>
      <c r="AT105">
        <v>16.899999999999999</v>
      </c>
      <c r="AU105">
        <v>423</v>
      </c>
      <c r="AX105">
        <v>1.2</v>
      </c>
      <c r="AY105">
        <v>423</v>
      </c>
    </row>
    <row r="106" spans="1:51" x14ac:dyDescent="0.3">
      <c r="A106" s="1">
        <v>44666</v>
      </c>
      <c r="B106">
        <v>26.5</v>
      </c>
      <c r="C106">
        <v>16.8</v>
      </c>
      <c r="D106">
        <v>0.2</v>
      </c>
      <c r="E106">
        <f t="shared" si="3"/>
        <v>4</v>
      </c>
      <c r="F106">
        <f t="shared" si="4"/>
        <v>4</v>
      </c>
      <c r="G106">
        <f t="shared" si="5"/>
        <v>0</v>
      </c>
      <c r="V106" s="1">
        <v>44666</v>
      </c>
      <c r="W106">
        <v>26.5</v>
      </c>
      <c r="X106">
        <v>16.8</v>
      </c>
      <c r="Y106">
        <v>0.2</v>
      </c>
      <c r="Z106">
        <v>699</v>
      </c>
      <c r="AA106">
        <v>738</v>
      </c>
      <c r="AD106">
        <v>26.5</v>
      </c>
      <c r="AE106">
        <v>699</v>
      </c>
      <c r="AH106">
        <v>16.8</v>
      </c>
      <c r="AI106">
        <v>699</v>
      </c>
      <c r="AL106">
        <v>0.2</v>
      </c>
      <c r="AM106">
        <v>699</v>
      </c>
      <c r="AP106">
        <v>26.5</v>
      </c>
      <c r="AQ106">
        <v>738</v>
      </c>
      <c r="AT106">
        <v>16.8</v>
      </c>
      <c r="AU106">
        <v>738</v>
      </c>
      <c r="AX106">
        <v>0.2</v>
      </c>
      <c r="AY106">
        <v>738</v>
      </c>
    </row>
    <row r="107" spans="1:51" x14ac:dyDescent="0.3">
      <c r="A107" s="1">
        <v>44667</v>
      </c>
      <c r="B107">
        <v>26.7</v>
      </c>
      <c r="C107">
        <v>16.3</v>
      </c>
      <c r="D107">
        <v>0</v>
      </c>
      <c r="E107">
        <f t="shared" si="3"/>
        <v>4</v>
      </c>
      <c r="F107">
        <f t="shared" si="4"/>
        <v>4</v>
      </c>
      <c r="G107">
        <f t="shared" si="5"/>
        <v>0</v>
      </c>
      <c r="V107" s="1">
        <v>44667</v>
      </c>
      <c r="W107">
        <v>26.7</v>
      </c>
      <c r="X107">
        <v>16.3</v>
      </c>
      <c r="Y107">
        <v>0</v>
      </c>
      <c r="Z107">
        <v>538</v>
      </c>
      <c r="AA107">
        <v>594</v>
      </c>
      <c r="AD107">
        <v>26.7</v>
      </c>
      <c r="AE107">
        <v>538</v>
      </c>
      <c r="AH107">
        <v>16.3</v>
      </c>
      <c r="AI107">
        <v>538</v>
      </c>
      <c r="AL107">
        <v>0</v>
      </c>
      <c r="AM107">
        <v>538</v>
      </c>
      <c r="AP107">
        <v>26.7</v>
      </c>
      <c r="AQ107">
        <v>594</v>
      </c>
      <c r="AT107">
        <v>16.3</v>
      </c>
      <c r="AU107">
        <v>594</v>
      </c>
      <c r="AX107">
        <v>0</v>
      </c>
      <c r="AY107">
        <v>594</v>
      </c>
    </row>
    <row r="108" spans="1:51" x14ac:dyDescent="0.3">
      <c r="A108" s="1">
        <v>44668</v>
      </c>
      <c r="B108">
        <v>25.7</v>
      </c>
      <c r="C108">
        <v>15.6</v>
      </c>
      <c r="D108">
        <v>0</v>
      </c>
      <c r="E108">
        <f t="shared" si="3"/>
        <v>4</v>
      </c>
      <c r="F108">
        <f t="shared" si="4"/>
        <v>4</v>
      </c>
      <c r="G108">
        <f t="shared" si="5"/>
        <v>0</v>
      </c>
      <c r="V108" s="1">
        <v>44668</v>
      </c>
      <c r="W108">
        <v>25.7</v>
      </c>
      <c r="X108">
        <v>15.6</v>
      </c>
      <c r="Y108">
        <v>0</v>
      </c>
      <c r="Z108">
        <v>551</v>
      </c>
      <c r="AA108">
        <v>499</v>
      </c>
      <c r="AD108">
        <v>25.7</v>
      </c>
      <c r="AE108">
        <v>551</v>
      </c>
      <c r="AH108">
        <v>15.6</v>
      </c>
      <c r="AI108">
        <v>551</v>
      </c>
      <c r="AL108">
        <v>0</v>
      </c>
      <c r="AM108">
        <v>551</v>
      </c>
      <c r="AP108">
        <v>25.7</v>
      </c>
      <c r="AQ108">
        <v>499</v>
      </c>
      <c r="AT108">
        <v>15.6</v>
      </c>
      <c r="AU108">
        <v>499</v>
      </c>
      <c r="AX108">
        <v>0</v>
      </c>
      <c r="AY108">
        <v>499</v>
      </c>
    </row>
    <row r="109" spans="1:51" x14ac:dyDescent="0.3">
      <c r="A109" s="1">
        <v>44669</v>
      </c>
      <c r="B109">
        <v>27</v>
      </c>
      <c r="C109">
        <v>16.5</v>
      </c>
      <c r="D109">
        <v>0</v>
      </c>
      <c r="E109">
        <f t="shared" si="3"/>
        <v>4</v>
      </c>
      <c r="F109">
        <f t="shared" si="4"/>
        <v>4</v>
      </c>
      <c r="G109">
        <f t="shared" si="5"/>
        <v>0</v>
      </c>
      <c r="V109" s="1">
        <v>44669</v>
      </c>
      <c r="W109">
        <v>27</v>
      </c>
      <c r="X109">
        <v>16.5</v>
      </c>
      <c r="Y109">
        <v>0</v>
      </c>
      <c r="Z109">
        <v>773</v>
      </c>
      <c r="AA109">
        <v>694</v>
      </c>
      <c r="AD109">
        <v>27</v>
      </c>
      <c r="AE109">
        <v>773</v>
      </c>
      <c r="AH109">
        <v>16.5</v>
      </c>
      <c r="AI109">
        <v>773</v>
      </c>
      <c r="AL109">
        <v>0</v>
      </c>
      <c r="AM109">
        <v>773</v>
      </c>
      <c r="AP109">
        <v>27</v>
      </c>
      <c r="AQ109">
        <v>694</v>
      </c>
      <c r="AT109">
        <v>16.5</v>
      </c>
      <c r="AU109">
        <v>694</v>
      </c>
      <c r="AX109">
        <v>0</v>
      </c>
      <c r="AY109">
        <v>694</v>
      </c>
    </row>
    <row r="110" spans="1:51" x14ac:dyDescent="0.3">
      <c r="A110" s="1">
        <v>44670</v>
      </c>
      <c r="B110">
        <v>27.6</v>
      </c>
      <c r="C110">
        <v>18.2</v>
      </c>
      <c r="D110">
        <v>0</v>
      </c>
      <c r="E110">
        <f t="shared" si="3"/>
        <v>4</v>
      </c>
      <c r="F110">
        <f t="shared" si="4"/>
        <v>4</v>
      </c>
      <c r="G110">
        <f t="shared" si="5"/>
        <v>0</v>
      </c>
      <c r="K110" t="s">
        <v>40</v>
      </c>
      <c r="V110" s="1">
        <v>44670</v>
      </c>
      <c r="W110">
        <v>27.6</v>
      </c>
      <c r="X110">
        <v>18.2</v>
      </c>
      <c r="Y110">
        <v>0</v>
      </c>
      <c r="Z110">
        <v>662</v>
      </c>
      <c r="AA110">
        <v>512</v>
      </c>
      <c r="AD110">
        <v>27.6</v>
      </c>
      <c r="AE110">
        <v>662</v>
      </c>
      <c r="AH110">
        <v>18.2</v>
      </c>
      <c r="AI110">
        <v>662</v>
      </c>
      <c r="AL110">
        <v>0</v>
      </c>
      <c r="AM110">
        <v>662</v>
      </c>
      <c r="AP110">
        <v>27.6</v>
      </c>
      <c r="AQ110">
        <v>512</v>
      </c>
      <c r="AT110">
        <v>18.2</v>
      </c>
      <c r="AU110">
        <v>512</v>
      </c>
      <c r="AX110">
        <v>0</v>
      </c>
      <c r="AY110">
        <v>512</v>
      </c>
    </row>
    <row r="111" spans="1:51" x14ac:dyDescent="0.3">
      <c r="A111" s="1">
        <v>44671</v>
      </c>
      <c r="B111">
        <v>30.1</v>
      </c>
      <c r="C111">
        <v>18.600000000000001</v>
      </c>
      <c r="D111">
        <v>0</v>
      </c>
      <c r="E111">
        <f t="shared" si="3"/>
        <v>4</v>
      </c>
      <c r="F111">
        <f t="shared" si="4"/>
        <v>4</v>
      </c>
      <c r="G111">
        <f t="shared" si="5"/>
        <v>0</v>
      </c>
      <c r="K111" t="s">
        <v>41</v>
      </c>
      <c r="L111">
        <f>CORREL(AD2:AD366, AE2:AE366)</f>
        <v>2.1659387448734642E-3</v>
      </c>
      <c r="V111" s="1">
        <v>44671</v>
      </c>
      <c r="W111">
        <v>30.1</v>
      </c>
      <c r="X111">
        <v>18.600000000000001</v>
      </c>
      <c r="Y111">
        <v>0</v>
      </c>
      <c r="Z111">
        <v>652</v>
      </c>
      <c r="AA111">
        <v>596</v>
      </c>
      <c r="AD111">
        <v>30.1</v>
      </c>
      <c r="AE111">
        <v>652</v>
      </c>
      <c r="AH111">
        <v>18.600000000000001</v>
      </c>
      <c r="AI111">
        <v>652</v>
      </c>
      <c r="AL111">
        <v>0</v>
      </c>
      <c r="AM111">
        <v>652</v>
      </c>
      <c r="AP111">
        <v>30.1</v>
      </c>
      <c r="AQ111">
        <v>596</v>
      </c>
      <c r="AT111">
        <v>18.600000000000001</v>
      </c>
      <c r="AU111">
        <v>596</v>
      </c>
      <c r="AX111">
        <v>0</v>
      </c>
      <c r="AY111">
        <v>596</v>
      </c>
    </row>
    <row r="112" spans="1:51" x14ac:dyDescent="0.3">
      <c r="A112" s="1">
        <v>44672</v>
      </c>
      <c r="B112">
        <v>27.4</v>
      </c>
      <c r="C112">
        <v>16.2</v>
      </c>
      <c r="D112">
        <v>0</v>
      </c>
      <c r="E112">
        <f t="shared" si="3"/>
        <v>4</v>
      </c>
      <c r="F112">
        <f t="shared" si="4"/>
        <v>4</v>
      </c>
      <c r="G112">
        <f t="shared" si="5"/>
        <v>0</v>
      </c>
      <c r="K112" t="s">
        <v>42</v>
      </c>
      <c r="L112">
        <f>CORREL(AH2:AH366, AI2:AI366)</f>
        <v>0.31715070514108196</v>
      </c>
      <c r="V112" s="1">
        <v>44672</v>
      </c>
      <c r="W112">
        <v>27.4</v>
      </c>
      <c r="X112">
        <v>16.2</v>
      </c>
      <c r="Y112">
        <v>0</v>
      </c>
      <c r="Z112">
        <v>822</v>
      </c>
      <c r="AA112">
        <v>552</v>
      </c>
      <c r="AD112">
        <v>27.4</v>
      </c>
      <c r="AE112">
        <v>822</v>
      </c>
      <c r="AH112">
        <v>16.2</v>
      </c>
      <c r="AI112">
        <v>822</v>
      </c>
      <c r="AL112">
        <v>0</v>
      </c>
      <c r="AM112">
        <v>822</v>
      </c>
      <c r="AP112">
        <v>27.4</v>
      </c>
      <c r="AQ112">
        <v>552</v>
      </c>
      <c r="AT112">
        <v>16.2</v>
      </c>
      <c r="AU112">
        <v>552</v>
      </c>
      <c r="AX112">
        <v>0</v>
      </c>
      <c r="AY112">
        <v>552</v>
      </c>
    </row>
    <row r="113" spans="1:51" x14ac:dyDescent="0.3">
      <c r="A113" s="1">
        <v>44673</v>
      </c>
      <c r="B113">
        <v>26.3</v>
      </c>
      <c r="C113">
        <v>14.9</v>
      </c>
      <c r="D113">
        <v>0</v>
      </c>
      <c r="E113">
        <f t="shared" si="3"/>
        <v>4</v>
      </c>
      <c r="F113">
        <f t="shared" si="4"/>
        <v>4</v>
      </c>
      <c r="G113">
        <f t="shared" si="5"/>
        <v>0</v>
      </c>
      <c r="K113" t="s">
        <v>43</v>
      </c>
      <c r="L113">
        <f>CORREL(AL2:AL366, AM2:AM366)</f>
        <v>-0.47031087928277354</v>
      </c>
      <c r="V113" s="1">
        <v>44673</v>
      </c>
      <c r="W113">
        <v>26.3</v>
      </c>
      <c r="X113">
        <v>14.9</v>
      </c>
      <c r="Y113">
        <v>0</v>
      </c>
      <c r="Z113">
        <v>793</v>
      </c>
      <c r="AA113">
        <v>649</v>
      </c>
      <c r="AD113">
        <v>26.3</v>
      </c>
      <c r="AE113">
        <v>793</v>
      </c>
      <c r="AH113">
        <v>14.9</v>
      </c>
      <c r="AI113">
        <v>793</v>
      </c>
      <c r="AL113">
        <v>0</v>
      </c>
      <c r="AM113">
        <v>793</v>
      </c>
      <c r="AP113">
        <v>26.3</v>
      </c>
      <c r="AQ113">
        <v>649</v>
      </c>
      <c r="AT113">
        <v>14.9</v>
      </c>
      <c r="AU113">
        <v>649</v>
      </c>
      <c r="AX113">
        <v>0</v>
      </c>
      <c r="AY113">
        <v>649</v>
      </c>
    </row>
    <row r="114" spans="1:51" x14ac:dyDescent="0.3">
      <c r="A114" s="1">
        <v>44674</v>
      </c>
      <c r="B114">
        <v>23.2</v>
      </c>
      <c r="C114">
        <v>16.8</v>
      </c>
      <c r="D114">
        <v>1</v>
      </c>
      <c r="E114">
        <f t="shared" si="3"/>
        <v>4</v>
      </c>
      <c r="F114">
        <f t="shared" si="4"/>
        <v>4</v>
      </c>
      <c r="G114">
        <f t="shared" si="5"/>
        <v>0</v>
      </c>
      <c r="K114" t="s">
        <v>44</v>
      </c>
      <c r="L114">
        <f>CORREL(AP2:AP366, AQ2:AQ366)</f>
        <v>0.35064670713616469</v>
      </c>
      <c r="V114" s="1">
        <v>44674</v>
      </c>
      <c r="W114">
        <v>23.2</v>
      </c>
      <c r="X114">
        <v>16.8</v>
      </c>
      <c r="Y114">
        <v>1</v>
      </c>
      <c r="Z114">
        <v>538</v>
      </c>
      <c r="AA114">
        <v>589</v>
      </c>
      <c r="AD114">
        <v>23.2</v>
      </c>
      <c r="AE114">
        <v>538</v>
      </c>
      <c r="AH114">
        <v>16.8</v>
      </c>
      <c r="AI114">
        <v>538</v>
      </c>
      <c r="AL114">
        <v>1</v>
      </c>
      <c r="AM114">
        <v>538</v>
      </c>
      <c r="AP114">
        <v>23.2</v>
      </c>
      <c r="AQ114">
        <v>589</v>
      </c>
      <c r="AT114">
        <v>16.8</v>
      </c>
      <c r="AU114">
        <v>589</v>
      </c>
      <c r="AX114">
        <v>1</v>
      </c>
      <c r="AY114">
        <v>589</v>
      </c>
    </row>
    <row r="115" spans="1:51" x14ac:dyDescent="0.3">
      <c r="A115" s="1">
        <v>44675</v>
      </c>
      <c r="B115">
        <v>23.9</v>
      </c>
      <c r="C115">
        <v>13.6</v>
      </c>
      <c r="D115">
        <v>3.4</v>
      </c>
      <c r="E115">
        <f t="shared" si="3"/>
        <v>4</v>
      </c>
      <c r="F115">
        <f t="shared" si="4"/>
        <v>4</v>
      </c>
      <c r="G115">
        <f t="shared" si="5"/>
        <v>0</v>
      </c>
      <c r="K115" t="s">
        <v>45</v>
      </c>
      <c r="L115">
        <f>CORREL(AT2:AT366, AU2:AU366)</f>
        <v>0.53403766916099016</v>
      </c>
      <c r="V115" s="1">
        <v>44675</v>
      </c>
      <c r="W115">
        <v>23.9</v>
      </c>
      <c r="X115">
        <v>13.6</v>
      </c>
      <c r="Y115">
        <v>3.4</v>
      </c>
      <c r="Z115">
        <v>502</v>
      </c>
      <c r="AA115">
        <v>447</v>
      </c>
      <c r="AD115">
        <v>23.9</v>
      </c>
      <c r="AE115">
        <v>502</v>
      </c>
      <c r="AH115">
        <v>13.6</v>
      </c>
      <c r="AI115">
        <v>502</v>
      </c>
      <c r="AL115">
        <v>3.4</v>
      </c>
      <c r="AM115">
        <v>502</v>
      </c>
      <c r="AP115">
        <v>23.9</v>
      </c>
      <c r="AQ115">
        <v>447</v>
      </c>
      <c r="AT115">
        <v>13.6</v>
      </c>
      <c r="AU115">
        <v>447</v>
      </c>
      <c r="AX115">
        <v>3.4</v>
      </c>
      <c r="AY115">
        <v>447</v>
      </c>
    </row>
    <row r="116" spans="1:51" x14ac:dyDescent="0.3">
      <c r="A116" s="1">
        <v>44676</v>
      </c>
      <c r="B116">
        <v>20.100000000000001</v>
      </c>
      <c r="C116">
        <v>11.3</v>
      </c>
      <c r="D116">
        <v>11.6</v>
      </c>
      <c r="E116">
        <f t="shared" si="3"/>
        <v>4</v>
      </c>
      <c r="F116">
        <f t="shared" si="4"/>
        <v>4</v>
      </c>
      <c r="G116">
        <f t="shared" si="5"/>
        <v>0</v>
      </c>
      <c r="K116" t="s">
        <v>46</v>
      </c>
      <c r="L116">
        <f>CORREL(AX2:AX366, AY2:AY366)</f>
        <v>-0.47446248740983232</v>
      </c>
      <c r="V116" s="1">
        <v>44676</v>
      </c>
      <c r="W116">
        <v>20.100000000000001</v>
      </c>
      <c r="X116">
        <v>11.3</v>
      </c>
      <c r="Y116">
        <v>11.6</v>
      </c>
      <c r="Z116">
        <v>270</v>
      </c>
      <c r="AA116">
        <v>114</v>
      </c>
      <c r="AD116">
        <v>20.100000000000001</v>
      </c>
      <c r="AE116">
        <v>270</v>
      </c>
      <c r="AH116">
        <v>11.3</v>
      </c>
      <c r="AI116">
        <v>270</v>
      </c>
      <c r="AL116">
        <v>11.6</v>
      </c>
      <c r="AM116">
        <v>270</v>
      </c>
      <c r="AP116">
        <v>20.100000000000001</v>
      </c>
      <c r="AQ116">
        <v>114</v>
      </c>
      <c r="AT116">
        <v>11.3</v>
      </c>
      <c r="AU116">
        <v>114</v>
      </c>
      <c r="AX116">
        <v>11.6</v>
      </c>
      <c r="AY116">
        <v>114</v>
      </c>
    </row>
    <row r="117" spans="1:51" x14ac:dyDescent="0.3">
      <c r="A117" s="1">
        <v>44677</v>
      </c>
      <c r="B117">
        <v>22.6</v>
      </c>
      <c r="C117">
        <v>7.9</v>
      </c>
      <c r="D117">
        <v>12.2</v>
      </c>
      <c r="E117">
        <f t="shared" si="3"/>
        <v>4</v>
      </c>
      <c r="F117">
        <f t="shared" si="4"/>
        <v>4</v>
      </c>
      <c r="G117">
        <f t="shared" si="5"/>
        <v>0</v>
      </c>
      <c r="V117" s="1">
        <v>44677</v>
      </c>
      <c r="W117">
        <v>22.6</v>
      </c>
      <c r="X117">
        <v>7.9</v>
      </c>
      <c r="Y117">
        <v>12.2</v>
      </c>
      <c r="Z117">
        <v>477</v>
      </c>
      <c r="AA117">
        <v>240</v>
      </c>
      <c r="AD117">
        <v>22.6</v>
      </c>
      <c r="AE117">
        <v>477</v>
      </c>
      <c r="AH117">
        <v>7.9</v>
      </c>
      <c r="AI117">
        <v>477</v>
      </c>
      <c r="AL117">
        <v>12.2</v>
      </c>
      <c r="AM117">
        <v>477</v>
      </c>
      <c r="AP117">
        <v>22.6</v>
      </c>
      <c r="AQ117">
        <v>240</v>
      </c>
      <c r="AT117">
        <v>7.9</v>
      </c>
      <c r="AU117">
        <v>240</v>
      </c>
      <c r="AX117">
        <v>12.2</v>
      </c>
      <c r="AY117">
        <v>240</v>
      </c>
    </row>
    <row r="118" spans="1:51" x14ac:dyDescent="0.3">
      <c r="A118" s="1">
        <v>44678</v>
      </c>
      <c r="B118">
        <v>26</v>
      </c>
      <c r="C118">
        <v>15.3</v>
      </c>
      <c r="D118">
        <v>0.2</v>
      </c>
      <c r="E118">
        <f t="shared" si="3"/>
        <v>4</v>
      </c>
      <c r="F118">
        <f t="shared" si="4"/>
        <v>4</v>
      </c>
      <c r="G118">
        <f t="shared" si="5"/>
        <v>0</v>
      </c>
      <c r="K118" t="s">
        <v>47</v>
      </c>
      <c r="O118" t="s">
        <v>48</v>
      </c>
      <c r="V118" s="1">
        <v>44678</v>
      </c>
      <c r="W118">
        <v>26</v>
      </c>
      <c r="X118">
        <v>15.3</v>
      </c>
      <c r="Y118">
        <v>0.2</v>
      </c>
      <c r="Z118">
        <v>793</v>
      </c>
      <c r="AA118">
        <v>529</v>
      </c>
      <c r="AD118">
        <v>26</v>
      </c>
      <c r="AE118">
        <v>793</v>
      </c>
      <c r="AH118">
        <v>15.3</v>
      </c>
      <c r="AI118">
        <v>793</v>
      </c>
      <c r="AL118">
        <v>0.2</v>
      </c>
      <c r="AM118">
        <v>793</v>
      </c>
      <c r="AP118">
        <v>26</v>
      </c>
      <c r="AQ118">
        <v>529</v>
      </c>
      <c r="AT118">
        <v>15.3</v>
      </c>
      <c r="AU118">
        <v>529</v>
      </c>
      <c r="AX118">
        <v>0.2</v>
      </c>
      <c r="AY118">
        <v>529</v>
      </c>
    </row>
    <row r="119" spans="1:51" x14ac:dyDescent="0.3">
      <c r="A119" s="1">
        <v>44679</v>
      </c>
      <c r="B119">
        <v>25.8</v>
      </c>
      <c r="C119">
        <v>15.1</v>
      </c>
      <c r="D119">
        <v>4.4000000000000004</v>
      </c>
      <c r="E119">
        <f t="shared" si="3"/>
        <v>4</v>
      </c>
      <c r="F119">
        <f t="shared" si="4"/>
        <v>4</v>
      </c>
      <c r="G119">
        <f t="shared" si="5"/>
        <v>0</v>
      </c>
      <c r="K119" t="s">
        <v>41</v>
      </c>
      <c r="L119" cm="1">
        <f t="array" ref="L119:M119">LINEST(AD2:AD366, AE2:AE366)</f>
        <v>4.8805186195238411E-5</v>
      </c>
      <c r="M119">
        <v>25.662791769754147</v>
      </c>
      <c r="O119" t="s">
        <v>41</v>
      </c>
      <c r="P119">
        <f>RSQ(AD2:AD366,AE2:AE366)</f>
        <v>4.691290646544037E-6</v>
      </c>
      <c r="V119" s="1">
        <v>44679</v>
      </c>
      <c r="W119">
        <v>25.8</v>
      </c>
      <c r="X119">
        <v>15.1</v>
      </c>
      <c r="Y119">
        <v>4.4000000000000004</v>
      </c>
      <c r="Z119">
        <v>662</v>
      </c>
      <c r="AA119">
        <v>465</v>
      </c>
      <c r="AD119">
        <v>25.8</v>
      </c>
      <c r="AE119">
        <v>662</v>
      </c>
      <c r="AH119">
        <v>15.1</v>
      </c>
      <c r="AI119">
        <v>662</v>
      </c>
      <c r="AL119">
        <v>4.4000000000000004</v>
      </c>
      <c r="AM119">
        <v>662</v>
      </c>
      <c r="AP119">
        <v>25.8</v>
      </c>
      <c r="AQ119">
        <v>465</v>
      </c>
      <c r="AT119">
        <v>15.1</v>
      </c>
      <c r="AU119">
        <v>465</v>
      </c>
      <c r="AX119">
        <v>4.4000000000000004</v>
      </c>
      <c r="AY119">
        <v>465</v>
      </c>
    </row>
    <row r="120" spans="1:51" x14ac:dyDescent="0.3">
      <c r="A120" s="1">
        <v>44680</v>
      </c>
      <c r="B120">
        <v>27.1</v>
      </c>
      <c r="C120">
        <v>14.6</v>
      </c>
      <c r="D120">
        <v>1</v>
      </c>
      <c r="E120">
        <f t="shared" si="3"/>
        <v>4</v>
      </c>
      <c r="F120">
        <f t="shared" si="4"/>
        <v>4</v>
      </c>
      <c r="G120">
        <f t="shared" si="5"/>
        <v>0</v>
      </c>
      <c r="K120" t="s">
        <v>42</v>
      </c>
      <c r="L120" cm="1">
        <f t="array" ref="L120:M120">LINEST(AH2:AH366, AI2:AI366)</f>
        <v>1.0988923233015943E-2</v>
      </c>
      <c r="M120">
        <v>11.414717733373053</v>
      </c>
      <c r="O120" t="s">
        <v>42</v>
      </c>
      <c r="P120">
        <f>RSQ(AH2:AH366,AI2:AI366)</f>
        <v>0.10058456977148547</v>
      </c>
      <c r="V120" s="1">
        <v>44680</v>
      </c>
      <c r="W120">
        <v>27.1</v>
      </c>
      <c r="X120">
        <v>14.6</v>
      </c>
      <c r="Y120">
        <v>1</v>
      </c>
      <c r="Z120">
        <v>694</v>
      </c>
      <c r="AA120">
        <v>587</v>
      </c>
      <c r="AD120">
        <v>27.1</v>
      </c>
      <c r="AE120">
        <v>694</v>
      </c>
      <c r="AH120">
        <v>14.6</v>
      </c>
      <c r="AI120">
        <v>694</v>
      </c>
      <c r="AL120">
        <v>1</v>
      </c>
      <c r="AM120">
        <v>694</v>
      </c>
      <c r="AP120">
        <v>27.1</v>
      </c>
      <c r="AQ120">
        <v>587</v>
      </c>
      <c r="AT120">
        <v>14.6</v>
      </c>
      <c r="AU120">
        <v>587</v>
      </c>
      <c r="AX120">
        <v>1</v>
      </c>
      <c r="AY120">
        <v>587</v>
      </c>
    </row>
    <row r="121" spans="1:51" x14ac:dyDescent="0.3">
      <c r="A121" s="1">
        <v>44681</v>
      </c>
      <c r="B121">
        <v>27.3</v>
      </c>
      <c r="C121">
        <v>16.100000000000001</v>
      </c>
      <c r="D121">
        <v>1</v>
      </c>
      <c r="E121">
        <f t="shared" si="3"/>
        <v>4</v>
      </c>
      <c r="F121">
        <f t="shared" si="4"/>
        <v>4</v>
      </c>
      <c r="G121">
        <f t="shared" si="5"/>
        <v>0</v>
      </c>
      <c r="K121" t="s">
        <v>43</v>
      </c>
      <c r="L121" cm="1">
        <f t="array" ref="L121:M121">LINEST(AL2:AL366,AM2:AM366)</f>
        <v>-3.6294820700363127E-2</v>
      </c>
      <c r="M121">
        <v>25.267706807080021</v>
      </c>
      <c r="O121" t="s">
        <v>43</v>
      </c>
      <c r="P121">
        <f>RSQ(AL2:AL366,AM2:AM366)</f>
        <v>0.22119232317173559</v>
      </c>
      <c r="V121" s="1">
        <v>44681</v>
      </c>
      <c r="W121">
        <v>27.3</v>
      </c>
      <c r="X121">
        <v>16.100000000000001</v>
      </c>
      <c r="Y121">
        <v>1</v>
      </c>
      <c r="Z121">
        <v>476</v>
      </c>
      <c r="AA121">
        <v>452</v>
      </c>
      <c r="AD121">
        <v>27.3</v>
      </c>
      <c r="AE121">
        <v>476</v>
      </c>
      <c r="AH121">
        <v>16.100000000000001</v>
      </c>
      <c r="AI121">
        <v>476</v>
      </c>
      <c r="AL121">
        <v>1</v>
      </c>
      <c r="AM121">
        <v>476</v>
      </c>
      <c r="AP121">
        <v>27.3</v>
      </c>
      <c r="AQ121">
        <v>452</v>
      </c>
      <c r="AT121">
        <v>16.100000000000001</v>
      </c>
      <c r="AU121">
        <v>452</v>
      </c>
      <c r="AX121">
        <v>1</v>
      </c>
      <c r="AY121">
        <v>452</v>
      </c>
    </row>
    <row r="122" spans="1:51" x14ac:dyDescent="0.3">
      <c r="A122" s="1">
        <v>44682</v>
      </c>
      <c r="B122">
        <v>23.1</v>
      </c>
      <c r="C122">
        <v>10.3</v>
      </c>
      <c r="D122">
        <v>0</v>
      </c>
      <c r="E122">
        <f t="shared" si="3"/>
        <v>4</v>
      </c>
      <c r="F122">
        <f t="shared" si="4"/>
        <v>4</v>
      </c>
      <c r="G122">
        <f t="shared" si="5"/>
        <v>0</v>
      </c>
      <c r="K122" t="s">
        <v>44</v>
      </c>
      <c r="L122" cm="1">
        <f t="array" ref="L122:M122">LINEST(AP2:AP366,AQ2:AQ366)</f>
        <v>7.2196274694567254E-3</v>
      </c>
      <c r="M122">
        <v>21.981915795559001</v>
      </c>
      <c r="O122" t="s">
        <v>44</v>
      </c>
      <c r="P122">
        <f>RSQ(AP2:AP366,AQ2:AQ366)</f>
        <v>0.12295311322543526</v>
      </c>
      <c r="V122" s="1">
        <v>44682</v>
      </c>
      <c r="W122">
        <v>23.1</v>
      </c>
      <c r="X122">
        <v>10.3</v>
      </c>
      <c r="Y122">
        <v>0</v>
      </c>
      <c r="Z122">
        <v>593</v>
      </c>
      <c r="AA122">
        <v>573</v>
      </c>
      <c r="AD122">
        <v>23.1</v>
      </c>
      <c r="AE122">
        <v>593</v>
      </c>
      <c r="AH122">
        <v>10.3</v>
      </c>
      <c r="AI122">
        <v>593</v>
      </c>
      <c r="AL122">
        <v>0</v>
      </c>
      <c r="AM122">
        <v>593</v>
      </c>
      <c r="AP122">
        <v>23.1</v>
      </c>
      <c r="AQ122">
        <v>573</v>
      </c>
      <c r="AT122">
        <v>10.3</v>
      </c>
      <c r="AU122">
        <v>573</v>
      </c>
      <c r="AX122">
        <v>0</v>
      </c>
      <c r="AY122">
        <v>573</v>
      </c>
    </row>
    <row r="123" spans="1:51" x14ac:dyDescent="0.3">
      <c r="A123" s="1">
        <v>44683</v>
      </c>
      <c r="B123">
        <v>25.4</v>
      </c>
      <c r="C123">
        <v>14.7</v>
      </c>
      <c r="D123">
        <v>0</v>
      </c>
      <c r="E123">
        <f t="shared" si="3"/>
        <v>4</v>
      </c>
      <c r="F123">
        <f t="shared" si="4"/>
        <v>4</v>
      </c>
      <c r="G123">
        <f t="shared" si="5"/>
        <v>0</v>
      </c>
      <c r="K123" t="s">
        <v>45</v>
      </c>
      <c r="L123" cm="1">
        <f t="array" ref="L123:M123">LINEST(AT2:AT366,AU2:AU366)</f>
        <v>1.6907779283850333E-2</v>
      </c>
      <c r="M123">
        <v>8.9484311502744909</v>
      </c>
      <c r="O123" t="s">
        <v>45</v>
      </c>
      <c r="P123">
        <f>RSQ(AT2:AT366,AU2:AU366)</f>
        <v>0.28519623208290307</v>
      </c>
      <c r="V123" s="1">
        <v>44683</v>
      </c>
      <c r="W123">
        <v>25.4</v>
      </c>
      <c r="X123">
        <v>14.7</v>
      </c>
      <c r="Y123">
        <v>0</v>
      </c>
      <c r="Z123">
        <v>797</v>
      </c>
      <c r="AA123">
        <v>784</v>
      </c>
      <c r="AD123">
        <v>25.4</v>
      </c>
      <c r="AE123">
        <v>797</v>
      </c>
      <c r="AH123">
        <v>14.7</v>
      </c>
      <c r="AI123">
        <v>797</v>
      </c>
      <c r="AL123">
        <v>0</v>
      </c>
      <c r="AM123">
        <v>797</v>
      </c>
      <c r="AP123">
        <v>25.4</v>
      </c>
      <c r="AQ123">
        <v>784</v>
      </c>
      <c r="AT123">
        <v>14.7</v>
      </c>
      <c r="AU123">
        <v>784</v>
      </c>
      <c r="AX123">
        <v>0</v>
      </c>
      <c r="AY123">
        <v>784</v>
      </c>
    </row>
    <row r="124" spans="1:51" x14ac:dyDescent="0.3">
      <c r="A124" s="1">
        <v>44684</v>
      </c>
      <c r="B124">
        <v>25.8</v>
      </c>
      <c r="C124">
        <v>15.1</v>
      </c>
      <c r="D124">
        <v>0.4</v>
      </c>
      <c r="E124">
        <f t="shared" si="3"/>
        <v>4</v>
      </c>
      <c r="F124">
        <f t="shared" si="4"/>
        <v>4</v>
      </c>
      <c r="G124">
        <f t="shared" si="5"/>
        <v>0</v>
      </c>
      <c r="K124" t="s">
        <v>46</v>
      </c>
      <c r="L124" cm="1">
        <f t="array" ref="L124:M124">LINEST(AX2:AX366,AY2:AY366)</f>
        <v>-3.345697960552773E-2</v>
      </c>
      <c r="M124">
        <v>21.914015477426823</v>
      </c>
      <c r="O124" t="s">
        <v>46</v>
      </c>
      <c r="P124">
        <f>RSQ(AX2:AX366,AY2:AY366)</f>
        <v>0.22511465195912525</v>
      </c>
      <c r="V124" s="1">
        <v>44684</v>
      </c>
      <c r="W124">
        <v>25.8</v>
      </c>
      <c r="X124">
        <v>15.1</v>
      </c>
      <c r="Y124">
        <v>0.4</v>
      </c>
      <c r="Z124">
        <v>703</v>
      </c>
      <c r="AA124">
        <v>553</v>
      </c>
      <c r="AD124">
        <v>25.8</v>
      </c>
      <c r="AE124">
        <v>703</v>
      </c>
      <c r="AH124">
        <v>15.1</v>
      </c>
      <c r="AI124">
        <v>703</v>
      </c>
      <c r="AL124">
        <v>0.4</v>
      </c>
      <c r="AM124">
        <v>703</v>
      </c>
      <c r="AP124">
        <v>25.8</v>
      </c>
      <c r="AQ124">
        <v>553</v>
      </c>
      <c r="AT124">
        <v>15.1</v>
      </c>
      <c r="AU124">
        <v>553</v>
      </c>
      <c r="AX124">
        <v>0.4</v>
      </c>
      <c r="AY124">
        <v>553</v>
      </c>
    </row>
    <row r="125" spans="1:51" x14ac:dyDescent="0.3">
      <c r="A125" s="1">
        <v>44685</v>
      </c>
      <c r="B125">
        <v>26.3</v>
      </c>
      <c r="C125">
        <v>13</v>
      </c>
      <c r="D125">
        <v>0</v>
      </c>
      <c r="E125">
        <f t="shared" si="3"/>
        <v>4</v>
      </c>
      <c r="F125">
        <f t="shared" si="4"/>
        <v>4</v>
      </c>
      <c r="G125">
        <f t="shared" si="5"/>
        <v>0</v>
      </c>
      <c r="V125" s="1">
        <v>44685</v>
      </c>
      <c r="W125">
        <v>26.3</v>
      </c>
      <c r="X125">
        <v>13</v>
      </c>
      <c r="Y125">
        <v>0</v>
      </c>
      <c r="Z125">
        <v>670</v>
      </c>
      <c r="AA125">
        <v>671</v>
      </c>
      <c r="AD125">
        <v>26.3</v>
      </c>
      <c r="AE125">
        <v>670</v>
      </c>
      <c r="AH125">
        <v>13</v>
      </c>
      <c r="AI125">
        <v>670</v>
      </c>
      <c r="AL125">
        <v>0</v>
      </c>
      <c r="AM125">
        <v>670</v>
      </c>
      <c r="AP125">
        <v>26.3</v>
      </c>
      <c r="AQ125">
        <v>671</v>
      </c>
      <c r="AT125">
        <v>13</v>
      </c>
      <c r="AU125">
        <v>671</v>
      </c>
      <c r="AX125">
        <v>0</v>
      </c>
      <c r="AY125">
        <v>671</v>
      </c>
    </row>
    <row r="126" spans="1:51" x14ac:dyDescent="0.3">
      <c r="A126" s="1">
        <v>44686</v>
      </c>
      <c r="B126">
        <v>28.3</v>
      </c>
      <c r="C126">
        <v>15.4</v>
      </c>
      <c r="D126">
        <v>0</v>
      </c>
      <c r="E126">
        <f t="shared" si="3"/>
        <v>4</v>
      </c>
      <c r="F126">
        <f t="shared" si="4"/>
        <v>4</v>
      </c>
      <c r="G126">
        <f t="shared" si="5"/>
        <v>0</v>
      </c>
      <c r="V126" s="1">
        <v>44686</v>
      </c>
      <c r="W126">
        <v>28.3</v>
      </c>
      <c r="X126">
        <v>15.4</v>
      </c>
      <c r="Y126">
        <v>0</v>
      </c>
      <c r="Z126">
        <v>727</v>
      </c>
      <c r="AA126">
        <v>572</v>
      </c>
      <c r="AD126">
        <v>28.3</v>
      </c>
      <c r="AE126">
        <v>727</v>
      </c>
      <c r="AH126">
        <v>15.4</v>
      </c>
      <c r="AI126">
        <v>727</v>
      </c>
      <c r="AL126">
        <v>0</v>
      </c>
      <c r="AM126">
        <v>727</v>
      </c>
      <c r="AP126">
        <v>28.3</v>
      </c>
      <c r="AQ126">
        <v>572</v>
      </c>
      <c r="AT126">
        <v>15.4</v>
      </c>
      <c r="AU126">
        <v>572</v>
      </c>
      <c r="AX126">
        <v>0</v>
      </c>
      <c r="AY126">
        <v>572</v>
      </c>
    </row>
    <row r="127" spans="1:51" x14ac:dyDescent="0.3">
      <c r="A127" s="1">
        <v>44687</v>
      </c>
      <c r="B127">
        <v>26.9</v>
      </c>
      <c r="C127">
        <v>11.5</v>
      </c>
      <c r="D127">
        <v>11</v>
      </c>
      <c r="E127">
        <f t="shared" si="3"/>
        <v>4</v>
      </c>
      <c r="F127">
        <f t="shared" si="4"/>
        <v>4</v>
      </c>
      <c r="G127">
        <f t="shared" si="5"/>
        <v>0</v>
      </c>
      <c r="V127" s="1">
        <v>44687</v>
      </c>
      <c r="W127">
        <v>26.9</v>
      </c>
      <c r="X127">
        <v>11.5</v>
      </c>
      <c r="Y127">
        <v>11</v>
      </c>
      <c r="Z127">
        <v>263</v>
      </c>
      <c r="AA127">
        <v>148</v>
      </c>
      <c r="AD127">
        <v>26.9</v>
      </c>
      <c r="AE127">
        <v>263</v>
      </c>
      <c r="AH127">
        <v>11.5</v>
      </c>
      <c r="AI127">
        <v>263</v>
      </c>
      <c r="AL127">
        <v>11</v>
      </c>
      <c r="AM127">
        <v>263</v>
      </c>
      <c r="AP127">
        <v>26.9</v>
      </c>
      <c r="AQ127">
        <v>148</v>
      </c>
      <c r="AT127">
        <v>11.5</v>
      </c>
      <c r="AU127">
        <v>148</v>
      </c>
      <c r="AX127">
        <v>11</v>
      </c>
      <c r="AY127">
        <v>148</v>
      </c>
    </row>
    <row r="128" spans="1:51" x14ac:dyDescent="0.3">
      <c r="A128" s="1">
        <v>44688</v>
      </c>
      <c r="B128">
        <v>25.3</v>
      </c>
      <c r="C128">
        <v>9.8000000000000007</v>
      </c>
      <c r="D128">
        <v>0.4</v>
      </c>
      <c r="E128">
        <f t="shared" si="3"/>
        <v>4</v>
      </c>
      <c r="F128">
        <f t="shared" si="4"/>
        <v>4</v>
      </c>
      <c r="G128">
        <f t="shared" si="5"/>
        <v>0</v>
      </c>
      <c r="V128" s="1">
        <v>44688</v>
      </c>
      <c r="W128">
        <v>25.3</v>
      </c>
      <c r="X128">
        <v>9.8000000000000007</v>
      </c>
      <c r="Y128">
        <v>0.4</v>
      </c>
      <c r="Z128">
        <v>668</v>
      </c>
      <c r="AA128">
        <v>540</v>
      </c>
      <c r="AD128">
        <v>25.3</v>
      </c>
      <c r="AE128">
        <v>668</v>
      </c>
      <c r="AH128">
        <v>9.8000000000000007</v>
      </c>
      <c r="AI128">
        <v>668</v>
      </c>
      <c r="AL128">
        <v>0.4</v>
      </c>
      <c r="AM128">
        <v>668</v>
      </c>
      <c r="AP128">
        <v>25.3</v>
      </c>
      <c r="AQ128">
        <v>540</v>
      </c>
      <c r="AT128">
        <v>9.8000000000000007</v>
      </c>
      <c r="AU128">
        <v>540</v>
      </c>
      <c r="AX128">
        <v>0.4</v>
      </c>
      <c r="AY128">
        <v>540</v>
      </c>
    </row>
    <row r="129" spans="1:51" x14ac:dyDescent="0.3">
      <c r="A129" s="1">
        <v>44689</v>
      </c>
      <c r="B129">
        <v>23</v>
      </c>
      <c r="C129">
        <v>10.5</v>
      </c>
      <c r="D129">
        <v>2.6</v>
      </c>
      <c r="E129">
        <f t="shared" si="3"/>
        <v>4</v>
      </c>
      <c r="F129">
        <f t="shared" si="4"/>
        <v>4</v>
      </c>
      <c r="G129">
        <f t="shared" si="5"/>
        <v>0</v>
      </c>
      <c r="V129" s="1">
        <v>44689</v>
      </c>
      <c r="W129">
        <v>23</v>
      </c>
      <c r="X129">
        <v>10.5</v>
      </c>
      <c r="Y129">
        <v>2.6</v>
      </c>
      <c r="Z129">
        <v>556</v>
      </c>
      <c r="AA129">
        <v>395</v>
      </c>
      <c r="AD129">
        <v>23</v>
      </c>
      <c r="AE129">
        <v>556</v>
      </c>
      <c r="AH129">
        <v>10.5</v>
      </c>
      <c r="AI129">
        <v>556</v>
      </c>
      <c r="AL129">
        <v>2.6</v>
      </c>
      <c r="AM129">
        <v>556</v>
      </c>
      <c r="AP129">
        <v>23</v>
      </c>
      <c r="AQ129">
        <v>395</v>
      </c>
      <c r="AT129">
        <v>10.5</v>
      </c>
      <c r="AU129">
        <v>395</v>
      </c>
      <c r="AX129">
        <v>2.6</v>
      </c>
      <c r="AY129">
        <v>395</v>
      </c>
    </row>
    <row r="130" spans="1:51" x14ac:dyDescent="0.3">
      <c r="A130" s="1">
        <v>44690</v>
      </c>
      <c r="B130">
        <v>19.3</v>
      </c>
      <c r="C130">
        <v>5.3</v>
      </c>
      <c r="D130">
        <v>2</v>
      </c>
      <c r="E130">
        <f t="shared" si="3"/>
        <v>4</v>
      </c>
      <c r="F130">
        <f t="shared" si="4"/>
        <v>4</v>
      </c>
      <c r="G130">
        <f t="shared" si="5"/>
        <v>0</v>
      </c>
      <c r="V130" s="1">
        <v>44690</v>
      </c>
      <c r="W130">
        <v>19.3</v>
      </c>
      <c r="X130">
        <v>5.3</v>
      </c>
      <c r="Y130">
        <v>2</v>
      </c>
      <c r="Z130">
        <v>211</v>
      </c>
      <c r="AA130">
        <v>147</v>
      </c>
      <c r="AD130">
        <v>19.3</v>
      </c>
      <c r="AE130">
        <v>211</v>
      </c>
      <c r="AH130">
        <v>5.3</v>
      </c>
      <c r="AI130">
        <v>211</v>
      </c>
      <c r="AL130">
        <v>2</v>
      </c>
      <c r="AM130">
        <v>211</v>
      </c>
      <c r="AP130">
        <v>19.3</v>
      </c>
      <c r="AQ130">
        <v>147</v>
      </c>
      <c r="AT130">
        <v>5.3</v>
      </c>
      <c r="AU130">
        <v>147</v>
      </c>
      <c r="AX130">
        <v>2</v>
      </c>
      <c r="AY130">
        <v>147</v>
      </c>
    </row>
    <row r="131" spans="1:51" x14ac:dyDescent="0.3">
      <c r="A131" s="1">
        <v>44691</v>
      </c>
      <c r="B131">
        <v>23.6</v>
      </c>
      <c r="C131">
        <v>9</v>
      </c>
      <c r="D131">
        <v>12.6</v>
      </c>
      <c r="E131">
        <f t="shared" ref="E131:E194" si="6">COUNT(A131:D131)</f>
        <v>4</v>
      </c>
      <c r="F131">
        <f t="shared" ref="F131:F194" si="7">COUNTA(A131:D131)</f>
        <v>4</v>
      </c>
      <c r="G131">
        <f t="shared" ref="G131:G194" si="8">COUNTBLANK(A131:D131)</f>
        <v>0</v>
      </c>
      <c r="V131" s="1">
        <v>44691</v>
      </c>
      <c r="W131">
        <v>23.6</v>
      </c>
      <c r="X131">
        <v>9</v>
      </c>
      <c r="Y131">
        <v>12.6</v>
      </c>
      <c r="Z131">
        <v>438</v>
      </c>
      <c r="AA131">
        <v>251</v>
      </c>
      <c r="AD131">
        <v>23.6</v>
      </c>
      <c r="AE131">
        <v>438</v>
      </c>
      <c r="AH131">
        <v>9</v>
      </c>
      <c r="AI131">
        <v>438</v>
      </c>
      <c r="AL131">
        <v>12.6</v>
      </c>
      <c r="AM131">
        <v>438</v>
      </c>
      <c r="AP131">
        <v>23.6</v>
      </c>
      <c r="AQ131">
        <v>251</v>
      </c>
      <c r="AT131">
        <v>9</v>
      </c>
      <c r="AU131">
        <v>251</v>
      </c>
      <c r="AX131">
        <v>12.6</v>
      </c>
      <c r="AY131">
        <v>251</v>
      </c>
    </row>
    <row r="132" spans="1:51" x14ac:dyDescent="0.3">
      <c r="A132" s="1">
        <v>44692</v>
      </c>
      <c r="B132">
        <v>22.3</v>
      </c>
      <c r="C132">
        <v>5.2</v>
      </c>
      <c r="D132">
        <v>11.2</v>
      </c>
      <c r="E132">
        <f t="shared" si="6"/>
        <v>4</v>
      </c>
      <c r="F132">
        <f t="shared" si="7"/>
        <v>4</v>
      </c>
      <c r="G132">
        <f t="shared" si="8"/>
        <v>0</v>
      </c>
      <c r="V132" s="1">
        <v>44692</v>
      </c>
      <c r="W132">
        <v>22.3</v>
      </c>
      <c r="X132">
        <v>5.2</v>
      </c>
      <c r="Y132">
        <v>11.2</v>
      </c>
      <c r="Z132">
        <v>92</v>
      </c>
      <c r="AA132">
        <v>77</v>
      </c>
      <c r="AD132">
        <v>22.3</v>
      </c>
      <c r="AE132">
        <v>92</v>
      </c>
      <c r="AH132">
        <v>5.2</v>
      </c>
      <c r="AI132">
        <v>92</v>
      </c>
      <c r="AL132">
        <v>11.2</v>
      </c>
      <c r="AM132">
        <v>92</v>
      </c>
      <c r="AP132">
        <v>22.3</v>
      </c>
      <c r="AQ132">
        <v>77</v>
      </c>
      <c r="AT132">
        <v>5.2</v>
      </c>
      <c r="AU132">
        <v>77</v>
      </c>
      <c r="AX132">
        <v>11.2</v>
      </c>
      <c r="AY132">
        <v>77</v>
      </c>
    </row>
    <row r="133" spans="1:51" x14ac:dyDescent="0.3">
      <c r="A133" s="1">
        <v>44693</v>
      </c>
      <c r="B133">
        <v>23.3</v>
      </c>
      <c r="C133">
        <v>6.1</v>
      </c>
      <c r="D133">
        <v>40.4</v>
      </c>
      <c r="E133">
        <f t="shared" si="6"/>
        <v>4</v>
      </c>
      <c r="F133">
        <f t="shared" si="7"/>
        <v>4</v>
      </c>
      <c r="G133">
        <f t="shared" si="8"/>
        <v>0</v>
      </c>
      <c r="V133" s="1">
        <v>44693</v>
      </c>
      <c r="W133">
        <v>23.3</v>
      </c>
      <c r="X133">
        <v>6.1</v>
      </c>
      <c r="Y133">
        <v>40.4</v>
      </c>
      <c r="Z133">
        <v>215</v>
      </c>
      <c r="AA133">
        <v>132</v>
      </c>
      <c r="AD133">
        <v>23.3</v>
      </c>
      <c r="AE133">
        <v>215</v>
      </c>
      <c r="AH133">
        <v>6.1</v>
      </c>
      <c r="AI133">
        <v>215</v>
      </c>
      <c r="AL133">
        <v>40.4</v>
      </c>
      <c r="AM133">
        <v>215</v>
      </c>
      <c r="AP133">
        <v>23.3</v>
      </c>
      <c r="AQ133">
        <v>132</v>
      </c>
      <c r="AT133">
        <v>6.1</v>
      </c>
      <c r="AU133">
        <v>132</v>
      </c>
      <c r="AX133">
        <v>40.4</v>
      </c>
      <c r="AY133">
        <v>132</v>
      </c>
    </row>
    <row r="134" spans="1:51" x14ac:dyDescent="0.3">
      <c r="A134" s="1">
        <v>44694</v>
      </c>
      <c r="B134">
        <v>24.2</v>
      </c>
      <c r="C134">
        <v>6.1</v>
      </c>
      <c r="D134">
        <v>67.599999999999994</v>
      </c>
      <c r="E134">
        <f t="shared" si="6"/>
        <v>4</v>
      </c>
      <c r="F134">
        <f t="shared" si="7"/>
        <v>4</v>
      </c>
      <c r="G134">
        <f t="shared" si="8"/>
        <v>0</v>
      </c>
      <c r="V134" s="1">
        <v>44694</v>
      </c>
      <c r="W134">
        <v>24.2</v>
      </c>
      <c r="X134">
        <v>6.1</v>
      </c>
      <c r="Y134">
        <v>67.599999999999994</v>
      </c>
      <c r="Z134">
        <v>112</v>
      </c>
      <c r="AA134">
        <v>93</v>
      </c>
      <c r="AD134">
        <v>24.2</v>
      </c>
      <c r="AE134">
        <v>112</v>
      </c>
      <c r="AH134">
        <v>6.1</v>
      </c>
      <c r="AI134">
        <v>112</v>
      </c>
      <c r="AL134">
        <v>67.599999999999994</v>
      </c>
      <c r="AM134">
        <v>112</v>
      </c>
      <c r="AP134">
        <v>24.2</v>
      </c>
      <c r="AQ134">
        <v>93</v>
      </c>
      <c r="AT134">
        <v>6.1</v>
      </c>
      <c r="AU134">
        <v>93</v>
      </c>
      <c r="AX134">
        <v>67.599999999999994</v>
      </c>
      <c r="AY134">
        <v>93</v>
      </c>
    </row>
    <row r="135" spans="1:51" x14ac:dyDescent="0.3">
      <c r="A135" s="1">
        <v>44695</v>
      </c>
      <c r="B135">
        <v>24.6</v>
      </c>
      <c r="C135">
        <v>6.6</v>
      </c>
      <c r="D135">
        <v>28.2</v>
      </c>
      <c r="E135">
        <f t="shared" si="6"/>
        <v>4</v>
      </c>
      <c r="F135">
        <f t="shared" si="7"/>
        <v>4</v>
      </c>
      <c r="G135">
        <f t="shared" si="8"/>
        <v>0</v>
      </c>
      <c r="V135" s="1">
        <v>44695</v>
      </c>
      <c r="W135">
        <v>24.6</v>
      </c>
      <c r="X135">
        <v>6.6</v>
      </c>
      <c r="Y135">
        <v>28.2</v>
      </c>
      <c r="Z135">
        <v>151</v>
      </c>
      <c r="AA135">
        <v>65</v>
      </c>
      <c r="AD135">
        <v>24.6</v>
      </c>
      <c r="AE135">
        <v>151</v>
      </c>
      <c r="AH135">
        <v>6.6</v>
      </c>
      <c r="AI135">
        <v>151</v>
      </c>
      <c r="AL135">
        <v>28.2</v>
      </c>
      <c r="AM135">
        <v>151</v>
      </c>
      <c r="AP135">
        <v>24.6</v>
      </c>
      <c r="AQ135">
        <v>65</v>
      </c>
      <c r="AT135">
        <v>6.6</v>
      </c>
      <c r="AU135">
        <v>65</v>
      </c>
      <c r="AX135">
        <v>28.2</v>
      </c>
      <c r="AY135">
        <v>65</v>
      </c>
    </row>
    <row r="136" spans="1:51" x14ac:dyDescent="0.3">
      <c r="A136" s="1">
        <v>44696</v>
      </c>
      <c r="B136">
        <v>27.5</v>
      </c>
      <c r="C136">
        <v>11.7</v>
      </c>
      <c r="D136">
        <v>18.8</v>
      </c>
      <c r="E136">
        <f t="shared" si="6"/>
        <v>4</v>
      </c>
      <c r="F136">
        <f t="shared" si="7"/>
        <v>4</v>
      </c>
      <c r="G136">
        <f t="shared" si="8"/>
        <v>0</v>
      </c>
      <c r="V136" s="1">
        <v>44696</v>
      </c>
      <c r="W136">
        <v>27.5</v>
      </c>
      <c r="X136">
        <v>11.7</v>
      </c>
      <c r="Y136">
        <v>18.8</v>
      </c>
      <c r="Z136">
        <v>468</v>
      </c>
      <c r="AA136">
        <v>311</v>
      </c>
      <c r="AD136">
        <v>27.5</v>
      </c>
      <c r="AE136">
        <v>468</v>
      </c>
      <c r="AH136">
        <v>11.7</v>
      </c>
      <c r="AI136">
        <v>468</v>
      </c>
      <c r="AL136">
        <v>18.8</v>
      </c>
      <c r="AM136">
        <v>468</v>
      </c>
      <c r="AP136">
        <v>27.5</v>
      </c>
      <c r="AQ136">
        <v>311</v>
      </c>
      <c r="AT136">
        <v>11.7</v>
      </c>
      <c r="AU136">
        <v>311</v>
      </c>
      <c r="AX136">
        <v>18.8</v>
      </c>
      <c r="AY136">
        <v>311</v>
      </c>
    </row>
    <row r="137" spans="1:51" x14ac:dyDescent="0.3">
      <c r="A137" s="1">
        <v>44697</v>
      </c>
      <c r="B137">
        <v>27.6</v>
      </c>
      <c r="C137">
        <v>10.8</v>
      </c>
      <c r="D137">
        <v>0.8</v>
      </c>
      <c r="E137">
        <f t="shared" si="6"/>
        <v>4</v>
      </c>
      <c r="F137">
        <f t="shared" si="7"/>
        <v>4</v>
      </c>
      <c r="G137">
        <f t="shared" si="8"/>
        <v>0</v>
      </c>
      <c r="V137" s="1">
        <v>44697</v>
      </c>
      <c r="W137">
        <v>27.6</v>
      </c>
      <c r="X137">
        <v>10.8</v>
      </c>
      <c r="Y137">
        <v>0.8</v>
      </c>
      <c r="Z137">
        <v>479</v>
      </c>
      <c r="AA137">
        <v>436</v>
      </c>
      <c r="AD137">
        <v>27.6</v>
      </c>
      <c r="AE137">
        <v>479</v>
      </c>
      <c r="AH137">
        <v>10.8</v>
      </c>
      <c r="AI137">
        <v>479</v>
      </c>
      <c r="AL137">
        <v>0.8</v>
      </c>
      <c r="AM137">
        <v>479</v>
      </c>
      <c r="AP137">
        <v>27.6</v>
      </c>
      <c r="AQ137">
        <v>436</v>
      </c>
      <c r="AT137">
        <v>10.8</v>
      </c>
      <c r="AU137">
        <v>436</v>
      </c>
      <c r="AX137">
        <v>0.8</v>
      </c>
      <c r="AY137">
        <v>436</v>
      </c>
    </row>
    <row r="138" spans="1:51" x14ac:dyDescent="0.3">
      <c r="A138" s="1">
        <v>44698</v>
      </c>
      <c r="B138">
        <v>27.6</v>
      </c>
      <c r="C138">
        <v>8.9</v>
      </c>
      <c r="D138">
        <v>27</v>
      </c>
      <c r="E138">
        <f t="shared" si="6"/>
        <v>4</v>
      </c>
      <c r="F138">
        <f t="shared" si="7"/>
        <v>4</v>
      </c>
      <c r="G138">
        <f t="shared" si="8"/>
        <v>0</v>
      </c>
      <c r="V138" s="1">
        <v>44698</v>
      </c>
      <c r="W138">
        <v>27.6</v>
      </c>
      <c r="X138">
        <v>8.9</v>
      </c>
      <c r="Y138">
        <v>27</v>
      </c>
      <c r="Z138">
        <v>562</v>
      </c>
      <c r="AA138">
        <v>433</v>
      </c>
      <c r="AD138">
        <v>27.6</v>
      </c>
      <c r="AE138">
        <v>562</v>
      </c>
      <c r="AH138">
        <v>8.9</v>
      </c>
      <c r="AI138">
        <v>562</v>
      </c>
      <c r="AL138">
        <v>27</v>
      </c>
      <c r="AM138">
        <v>562</v>
      </c>
      <c r="AP138">
        <v>27.6</v>
      </c>
      <c r="AQ138">
        <v>433</v>
      </c>
      <c r="AT138">
        <v>8.9</v>
      </c>
      <c r="AU138">
        <v>433</v>
      </c>
      <c r="AX138">
        <v>27</v>
      </c>
      <c r="AY138">
        <v>433</v>
      </c>
    </row>
    <row r="139" spans="1:51" x14ac:dyDescent="0.3">
      <c r="A139" s="1">
        <v>44699</v>
      </c>
      <c r="B139">
        <v>26.3</v>
      </c>
      <c r="C139">
        <v>12</v>
      </c>
      <c r="D139">
        <v>0.4</v>
      </c>
      <c r="E139">
        <f t="shared" si="6"/>
        <v>4</v>
      </c>
      <c r="F139">
        <f t="shared" si="7"/>
        <v>4</v>
      </c>
      <c r="G139">
        <f t="shared" si="8"/>
        <v>0</v>
      </c>
      <c r="V139" s="1">
        <v>44699</v>
      </c>
      <c r="W139">
        <v>26.3</v>
      </c>
      <c r="X139">
        <v>12</v>
      </c>
      <c r="Y139">
        <v>0.4</v>
      </c>
      <c r="Z139">
        <v>683</v>
      </c>
      <c r="AA139">
        <v>633</v>
      </c>
      <c r="AD139">
        <v>26.3</v>
      </c>
      <c r="AE139">
        <v>683</v>
      </c>
      <c r="AH139">
        <v>12</v>
      </c>
      <c r="AI139">
        <v>683</v>
      </c>
      <c r="AL139">
        <v>0.4</v>
      </c>
      <c r="AM139">
        <v>683</v>
      </c>
      <c r="AP139">
        <v>26.3</v>
      </c>
      <c r="AQ139">
        <v>633</v>
      </c>
      <c r="AT139">
        <v>12</v>
      </c>
      <c r="AU139">
        <v>633</v>
      </c>
      <c r="AX139">
        <v>0.4</v>
      </c>
      <c r="AY139">
        <v>633</v>
      </c>
    </row>
    <row r="140" spans="1:51" x14ac:dyDescent="0.3">
      <c r="A140" s="1">
        <v>44700</v>
      </c>
      <c r="B140">
        <v>22.7</v>
      </c>
      <c r="C140">
        <v>9.4</v>
      </c>
      <c r="D140">
        <v>0.4</v>
      </c>
      <c r="E140">
        <f t="shared" si="6"/>
        <v>4</v>
      </c>
      <c r="F140">
        <f t="shared" si="7"/>
        <v>4</v>
      </c>
      <c r="G140">
        <f t="shared" si="8"/>
        <v>0</v>
      </c>
      <c r="V140" s="1">
        <v>44700</v>
      </c>
      <c r="W140">
        <v>22.7</v>
      </c>
      <c r="X140">
        <v>9.4</v>
      </c>
      <c r="Y140">
        <v>0.4</v>
      </c>
      <c r="Z140">
        <v>746</v>
      </c>
      <c r="AA140">
        <v>503</v>
      </c>
      <c r="AD140">
        <v>22.7</v>
      </c>
      <c r="AE140">
        <v>746</v>
      </c>
      <c r="AH140">
        <v>9.4</v>
      </c>
      <c r="AI140">
        <v>746</v>
      </c>
      <c r="AL140">
        <v>0.4</v>
      </c>
      <c r="AM140">
        <v>746</v>
      </c>
      <c r="AP140">
        <v>22.7</v>
      </c>
      <c r="AQ140">
        <v>503</v>
      </c>
      <c r="AT140">
        <v>9.4</v>
      </c>
      <c r="AU140">
        <v>503</v>
      </c>
      <c r="AX140">
        <v>0.4</v>
      </c>
      <c r="AY140">
        <v>503</v>
      </c>
    </row>
    <row r="141" spans="1:51" x14ac:dyDescent="0.3">
      <c r="A141" s="1">
        <v>44701</v>
      </c>
      <c r="B141">
        <v>21.3</v>
      </c>
      <c r="C141">
        <v>6.5</v>
      </c>
      <c r="D141">
        <v>0.4</v>
      </c>
      <c r="E141">
        <f t="shared" si="6"/>
        <v>4</v>
      </c>
      <c r="F141">
        <f t="shared" si="7"/>
        <v>4</v>
      </c>
      <c r="G141">
        <f t="shared" si="8"/>
        <v>0</v>
      </c>
      <c r="V141" s="1">
        <v>44701</v>
      </c>
      <c r="W141">
        <v>21.3</v>
      </c>
      <c r="X141">
        <v>6.5</v>
      </c>
      <c r="Y141">
        <v>0.4</v>
      </c>
      <c r="Z141">
        <v>739</v>
      </c>
      <c r="AA141">
        <v>572</v>
      </c>
      <c r="AD141">
        <v>21.3</v>
      </c>
      <c r="AE141">
        <v>739</v>
      </c>
      <c r="AH141">
        <v>6.5</v>
      </c>
      <c r="AI141">
        <v>739</v>
      </c>
      <c r="AL141">
        <v>0.4</v>
      </c>
      <c r="AM141">
        <v>739</v>
      </c>
      <c r="AP141">
        <v>21.3</v>
      </c>
      <c r="AQ141">
        <v>572</v>
      </c>
      <c r="AT141">
        <v>6.5</v>
      </c>
      <c r="AU141">
        <v>572</v>
      </c>
      <c r="AX141">
        <v>0.4</v>
      </c>
      <c r="AY141">
        <v>572</v>
      </c>
    </row>
    <row r="142" spans="1:51" x14ac:dyDescent="0.3">
      <c r="A142" s="1">
        <v>44702</v>
      </c>
      <c r="B142">
        <v>18.2</v>
      </c>
      <c r="C142">
        <v>5</v>
      </c>
      <c r="D142">
        <v>15.6</v>
      </c>
      <c r="E142">
        <f t="shared" si="6"/>
        <v>4</v>
      </c>
      <c r="F142">
        <f t="shared" si="7"/>
        <v>4</v>
      </c>
      <c r="G142">
        <f t="shared" si="8"/>
        <v>0</v>
      </c>
      <c r="V142" s="1">
        <v>44702</v>
      </c>
      <c r="W142">
        <v>18.2</v>
      </c>
      <c r="X142">
        <v>5</v>
      </c>
      <c r="Y142">
        <v>15.6</v>
      </c>
      <c r="Z142">
        <v>90</v>
      </c>
      <c r="AA142">
        <v>24</v>
      </c>
      <c r="AD142">
        <v>18.2</v>
      </c>
      <c r="AE142">
        <v>90</v>
      </c>
      <c r="AH142">
        <v>5</v>
      </c>
      <c r="AI142">
        <v>90</v>
      </c>
      <c r="AL142">
        <v>15.6</v>
      </c>
      <c r="AM142">
        <v>90</v>
      </c>
      <c r="AP142">
        <v>18.2</v>
      </c>
      <c r="AQ142">
        <v>24</v>
      </c>
      <c r="AT142">
        <v>5</v>
      </c>
      <c r="AU142">
        <v>24</v>
      </c>
      <c r="AX142">
        <v>15.6</v>
      </c>
      <c r="AY142">
        <v>24</v>
      </c>
    </row>
    <row r="143" spans="1:51" x14ac:dyDescent="0.3">
      <c r="A143" s="1">
        <v>44703</v>
      </c>
      <c r="B143">
        <v>20.399999999999999</v>
      </c>
      <c r="C143">
        <v>8.1999999999999993</v>
      </c>
      <c r="D143">
        <v>23.2</v>
      </c>
      <c r="E143">
        <f t="shared" si="6"/>
        <v>4</v>
      </c>
      <c r="F143">
        <f t="shared" si="7"/>
        <v>4</v>
      </c>
      <c r="G143">
        <f t="shared" si="8"/>
        <v>0</v>
      </c>
      <c r="V143" s="1">
        <v>44703</v>
      </c>
      <c r="W143">
        <v>20.399999999999999</v>
      </c>
      <c r="X143">
        <v>8.1999999999999993</v>
      </c>
      <c r="Y143">
        <v>23.2</v>
      </c>
      <c r="Z143">
        <v>284</v>
      </c>
      <c r="AA143">
        <v>89</v>
      </c>
      <c r="AD143">
        <v>20.399999999999999</v>
      </c>
      <c r="AE143">
        <v>284</v>
      </c>
      <c r="AH143">
        <v>8.1999999999999993</v>
      </c>
      <c r="AI143">
        <v>284</v>
      </c>
      <c r="AL143">
        <v>23.2</v>
      </c>
      <c r="AM143">
        <v>284</v>
      </c>
      <c r="AP143">
        <v>20.399999999999999</v>
      </c>
      <c r="AQ143">
        <v>89</v>
      </c>
      <c r="AT143">
        <v>8.1999999999999993</v>
      </c>
      <c r="AU143">
        <v>89</v>
      </c>
      <c r="AX143">
        <v>23.2</v>
      </c>
      <c r="AY143">
        <v>89</v>
      </c>
    </row>
    <row r="144" spans="1:51" x14ac:dyDescent="0.3">
      <c r="A144" s="1">
        <v>44704</v>
      </c>
      <c r="B144">
        <v>22.1</v>
      </c>
      <c r="C144">
        <v>10.7</v>
      </c>
      <c r="D144">
        <v>8.8000000000000007</v>
      </c>
      <c r="E144">
        <f t="shared" si="6"/>
        <v>4</v>
      </c>
      <c r="F144">
        <f t="shared" si="7"/>
        <v>4</v>
      </c>
      <c r="G144">
        <f t="shared" si="8"/>
        <v>0</v>
      </c>
      <c r="V144" s="1">
        <v>44704</v>
      </c>
      <c r="W144">
        <v>22.1</v>
      </c>
      <c r="X144">
        <v>10.7</v>
      </c>
      <c r="Y144">
        <v>8.8000000000000007</v>
      </c>
      <c r="Z144">
        <v>333</v>
      </c>
      <c r="AA144">
        <v>281</v>
      </c>
      <c r="AD144">
        <v>22.1</v>
      </c>
      <c r="AE144">
        <v>333</v>
      </c>
      <c r="AH144">
        <v>10.7</v>
      </c>
      <c r="AI144">
        <v>333</v>
      </c>
      <c r="AL144">
        <v>8.8000000000000007</v>
      </c>
      <c r="AM144">
        <v>333</v>
      </c>
      <c r="AP144">
        <v>22.1</v>
      </c>
      <c r="AQ144">
        <v>281</v>
      </c>
      <c r="AT144">
        <v>10.7</v>
      </c>
      <c r="AU144">
        <v>281</v>
      </c>
      <c r="AX144">
        <v>8.8000000000000007</v>
      </c>
      <c r="AY144">
        <v>281</v>
      </c>
    </row>
    <row r="145" spans="1:51" x14ac:dyDescent="0.3">
      <c r="A145" s="1">
        <v>44705</v>
      </c>
      <c r="B145">
        <v>22.7</v>
      </c>
      <c r="C145">
        <v>14.1</v>
      </c>
      <c r="D145">
        <v>6.4</v>
      </c>
      <c r="E145">
        <f t="shared" si="6"/>
        <v>4</v>
      </c>
      <c r="F145">
        <f t="shared" si="7"/>
        <v>4</v>
      </c>
      <c r="G145">
        <f t="shared" si="8"/>
        <v>0</v>
      </c>
      <c r="V145" s="1">
        <v>44705</v>
      </c>
      <c r="W145">
        <v>22.7</v>
      </c>
      <c r="X145">
        <v>14.1</v>
      </c>
      <c r="Y145">
        <v>6.4</v>
      </c>
      <c r="Z145">
        <v>492</v>
      </c>
      <c r="AA145">
        <v>311</v>
      </c>
      <c r="AD145">
        <v>22.7</v>
      </c>
      <c r="AE145">
        <v>492</v>
      </c>
      <c r="AH145">
        <v>14.1</v>
      </c>
      <c r="AI145">
        <v>492</v>
      </c>
      <c r="AL145">
        <v>6.4</v>
      </c>
      <c r="AM145">
        <v>492</v>
      </c>
      <c r="AP145">
        <v>22.7</v>
      </c>
      <c r="AQ145">
        <v>311</v>
      </c>
      <c r="AT145">
        <v>14.1</v>
      </c>
      <c r="AU145">
        <v>311</v>
      </c>
      <c r="AX145">
        <v>6.4</v>
      </c>
      <c r="AY145">
        <v>311</v>
      </c>
    </row>
    <row r="146" spans="1:51" x14ac:dyDescent="0.3">
      <c r="A146" s="1">
        <v>44706</v>
      </c>
      <c r="B146">
        <v>23.1</v>
      </c>
      <c r="C146">
        <v>11.2</v>
      </c>
      <c r="D146">
        <v>0.4</v>
      </c>
      <c r="E146">
        <f t="shared" si="6"/>
        <v>4</v>
      </c>
      <c r="F146">
        <f t="shared" si="7"/>
        <v>4</v>
      </c>
      <c r="G146">
        <f t="shared" si="8"/>
        <v>0</v>
      </c>
      <c r="V146" s="1">
        <v>44706</v>
      </c>
      <c r="W146">
        <v>23.1</v>
      </c>
      <c r="X146">
        <v>11.2</v>
      </c>
      <c r="Y146">
        <v>0.4</v>
      </c>
      <c r="Z146">
        <v>706</v>
      </c>
      <c r="AA146">
        <v>575</v>
      </c>
      <c r="AD146">
        <v>23.1</v>
      </c>
      <c r="AE146">
        <v>706</v>
      </c>
      <c r="AH146">
        <v>11.2</v>
      </c>
      <c r="AI146">
        <v>706</v>
      </c>
      <c r="AL146">
        <v>0.4</v>
      </c>
      <c r="AM146">
        <v>706</v>
      </c>
      <c r="AP146">
        <v>23.1</v>
      </c>
      <c r="AQ146">
        <v>575</v>
      </c>
      <c r="AT146">
        <v>11.2</v>
      </c>
      <c r="AU146">
        <v>575</v>
      </c>
      <c r="AX146">
        <v>0.4</v>
      </c>
      <c r="AY146">
        <v>575</v>
      </c>
    </row>
    <row r="147" spans="1:51" x14ac:dyDescent="0.3">
      <c r="A147" s="1">
        <v>44707</v>
      </c>
      <c r="B147">
        <v>24</v>
      </c>
      <c r="C147">
        <v>13.7</v>
      </c>
      <c r="D147">
        <v>0.4</v>
      </c>
      <c r="E147">
        <f t="shared" si="6"/>
        <v>4</v>
      </c>
      <c r="F147">
        <f t="shared" si="7"/>
        <v>4</v>
      </c>
      <c r="G147">
        <f t="shared" si="8"/>
        <v>0</v>
      </c>
      <c r="V147" s="1">
        <v>44707</v>
      </c>
      <c r="W147">
        <v>24</v>
      </c>
      <c r="X147">
        <v>13.7</v>
      </c>
      <c r="Y147">
        <v>0.4</v>
      </c>
      <c r="Z147">
        <v>769</v>
      </c>
      <c r="AA147">
        <v>460</v>
      </c>
      <c r="AD147">
        <v>24</v>
      </c>
      <c r="AE147">
        <v>769</v>
      </c>
      <c r="AH147">
        <v>13.7</v>
      </c>
      <c r="AI147">
        <v>769</v>
      </c>
      <c r="AL147">
        <v>0.4</v>
      </c>
      <c r="AM147">
        <v>769</v>
      </c>
      <c r="AP147">
        <v>24</v>
      </c>
      <c r="AQ147">
        <v>460</v>
      </c>
      <c r="AT147">
        <v>13.7</v>
      </c>
      <c r="AU147">
        <v>460</v>
      </c>
      <c r="AX147">
        <v>0.4</v>
      </c>
      <c r="AY147">
        <v>460</v>
      </c>
    </row>
    <row r="148" spans="1:51" x14ac:dyDescent="0.3">
      <c r="A148" s="1">
        <v>44708</v>
      </c>
      <c r="B148">
        <v>24.6</v>
      </c>
      <c r="C148">
        <v>13.2</v>
      </c>
      <c r="D148">
        <v>0.2</v>
      </c>
      <c r="E148">
        <f t="shared" si="6"/>
        <v>4</v>
      </c>
      <c r="F148">
        <f t="shared" si="7"/>
        <v>4</v>
      </c>
      <c r="G148">
        <f t="shared" si="8"/>
        <v>0</v>
      </c>
      <c r="V148" s="1">
        <v>44708</v>
      </c>
      <c r="W148">
        <v>24.6</v>
      </c>
      <c r="X148">
        <v>13.2</v>
      </c>
      <c r="Y148">
        <v>0.2</v>
      </c>
      <c r="Z148">
        <v>843</v>
      </c>
      <c r="AA148">
        <v>583</v>
      </c>
      <c r="AD148">
        <v>24.6</v>
      </c>
      <c r="AE148">
        <v>843</v>
      </c>
      <c r="AH148">
        <v>13.2</v>
      </c>
      <c r="AI148">
        <v>843</v>
      </c>
      <c r="AL148">
        <v>0.2</v>
      </c>
      <c r="AM148">
        <v>843</v>
      </c>
      <c r="AP148">
        <v>24.6</v>
      </c>
      <c r="AQ148">
        <v>583</v>
      </c>
      <c r="AT148">
        <v>13.2</v>
      </c>
      <c r="AU148">
        <v>583</v>
      </c>
      <c r="AX148">
        <v>0.2</v>
      </c>
      <c r="AY148">
        <v>583</v>
      </c>
    </row>
    <row r="149" spans="1:51" x14ac:dyDescent="0.3">
      <c r="A149" s="1">
        <v>44709</v>
      </c>
      <c r="B149">
        <v>24.8</v>
      </c>
      <c r="C149">
        <v>14.6</v>
      </c>
      <c r="D149">
        <v>0</v>
      </c>
      <c r="E149">
        <f t="shared" si="6"/>
        <v>4</v>
      </c>
      <c r="F149">
        <f t="shared" si="7"/>
        <v>4</v>
      </c>
      <c r="G149">
        <f t="shared" si="8"/>
        <v>0</v>
      </c>
      <c r="V149" s="1">
        <v>44709</v>
      </c>
      <c r="W149">
        <v>24.8</v>
      </c>
      <c r="X149">
        <v>14.6</v>
      </c>
      <c r="Y149">
        <v>0</v>
      </c>
      <c r="Z149">
        <v>750</v>
      </c>
      <c r="AA149">
        <v>746</v>
      </c>
      <c r="AD149">
        <v>24.8</v>
      </c>
      <c r="AE149">
        <v>750</v>
      </c>
      <c r="AH149">
        <v>14.6</v>
      </c>
      <c r="AI149">
        <v>750</v>
      </c>
      <c r="AL149">
        <v>0</v>
      </c>
      <c r="AM149">
        <v>750</v>
      </c>
      <c r="AP149">
        <v>24.8</v>
      </c>
      <c r="AQ149">
        <v>746</v>
      </c>
      <c r="AT149">
        <v>14.6</v>
      </c>
      <c r="AU149">
        <v>746</v>
      </c>
      <c r="AX149">
        <v>0</v>
      </c>
      <c r="AY149">
        <v>746</v>
      </c>
    </row>
    <row r="150" spans="1:51" x14ac:dyDescent="0.3">
      <c r="A150" s="1">
        <v>44710</v>
      </c>
      <c r="B150">
        <v>21.2</v>
      </c>
      <c r="C150">
        <v>14.5</v>
      </c>
      <c r="D150">
        <v>0</v>
      </c>
      <c r="E150">
        <f t="shared" si="6"/>
        <v>4</v>
      </c>
      <c r="F150">
        <f t="shared" si="7"/>
        <v>4</v>
      </c>
      <c r="G150">
        <f t="shared" si="8"/>
        <v>0</v>
      </c>
      <c r="V150" s="1">
        <v>44710</v>
      </c>
      <c r="W150">
        <v>21.2</v>
      </c>
      <c r="X150">
        <v>14.5</v>
      </c>
      <c r="Y150">
        <v>0</v>
      </c>
      <c r="Z150">
        <v>1198</v>
      </c>
      <c r="AA150">
        <v>853</v>
      </c>
      <c r="AD150">
        <v>21.2</v>
      </c>
      <c r="AE150">
        <v>1198</v>
      </c>
      <c r="AH150">
        <v>14.5</v>
      </c>
      <c r="AI150">
        <v>1198</v>
      </c>
      <c r="AL150">
        <v>0</v>
      </c>
      <c r="AM150">
        <v>1198</v>
      </c>
      <c r="AP150">
        <v>21.2</v>
      </c>
      <c r="AQ150">
        <v>853</v>
      </c>
      <c r="AT150">
        <v>14.5</v>
      </c>
      <c r="AU150">
        <v>853</v>
      </c>
      <c r="AX150">
        <v>0</v>
      </c>
      <c r="AY150">
        <v>853</v>
      </c>
    </row>
    <row r="151" spans="1:51" x14ac:dyDescent="0.3">
      <c r="A151" s="1">
        <v>44711</v>
      </c>
      <c r="B151">
        <v>20.7</v>
      </c>
      <c r="C151">
        <v>8.4</v>
      </c>
      <c r="D151">
        <v>0</v>
      </c>
      <c r="E151">
        <f t="shared" si="6"/>
        <v>4</v>
      </c>
      <c r="F151">
        <f t="shared" si="7"/>
        <v>4</v>
      </c>
      <c r="G151">
        <f t="shared" si="8"/>
        <v>0</v>
      </c>
      <c r="V151" s="1">
        <v>44711</v>
      </c>
      <c r="W151">
        <v>20.7</v>
      </c>
      <c r="X151">
        <v>8.4</v>
      </c>
      <c r="Y151">
        <v>0</v>
      </c>
      <c r="Z151">
        <v>491</v>
      </c>
      <c r="AA151">
        <v>429</v>
      </c>
      <c r="AD151">
        <v>20.7</v>
      </c>
      <c r="AE151">
        <v>491</v>
      </c>
      <c r="AH151">
        <v>8.4</v>
      </c>
      <c r="AI151">
        <v>491</v>
      </c>
      <c r="AL151">
        <v>0</v>
      </c>
      <c r="AM151">
        <v>491</v>
      </c>
      <c r="AP151">
        <v>20.7</v>
      </c>
      <c r="AQ151">
        <v>429</v>
      </c>
      <c r="AT151">
        <v>8.4</v>
      </c>
      <c r="AU151">
        <v>429</v>
      </c>
      <c r="AX151">
        <v>0</v>
      </c>
      <c r="AY151">
        <v>429</v>
      </c>
    </row>
    <row r="152" spans="1:51" x14ac:dyDescent="0.3">
      <c r="A152" s="1">
        <v>44712</v>
      </c>
      <c r="B152">
        <v>20.6</v>
      </c>
      <c r="C152">
        <v>13.4</v>
      </c>
      <c r="D152">
        <v>0.8</v>
      </c>
      <c r="E152">
        <f t="shared" si="6"/>
        <v>4</v>
      </c>
      <c r="F152">
        <f t="shared" si="7"/>
        <v>4</v>
      </c>
      <c r="G152">
        <f t="shared" si="8"/>
        <v>0</v>
      </c>
      <c r="V152" s="1">
        <v>44712</v>
      </c>
      <c r="W152">
        <v>20.6</v>
      </c>
      <c r="X152">
        <v>13.4</v>
      </c>
      <c r="Y152">
        <v>0.8</v>
      </c>
      <c r="Z152">
        <v>495</v>
      </c>
      <c r="AA152">
        <v>319</v>
      </c>
      <c r="AD152">
        <v>20.6</v>
      </c>
      <c r="AE152">
        <v>495</v>
      </c>
      <c r="AH152">
        <v>13.4</v>
      </c>
      <c r="AI152">
        <v>495</v>
      </c>
      <c r="AL152">
        <v>0.8</v>
      </c>
      <c r="AM152">
        <v>495</v>
      </c>
      <c r="AP152">
        <v>20.6</v>
      </c>
      <c r="AQ152">
        <v>319</v>
      </c>
      <c r="AT152">
        <v>13.4</v>
      </c>
      <c r="AU152">
        <v>319</v>
      </c>
      <c r="AX152">
        <v>0.8</v>
      </c>
      <c r="AY152">
        <v>319</v>
      </c>
    </row>
    <row r="153" spans="1:51" x14ac:dyDescent="0.3">
      <c r="A153" s="1">
        <v>44713</v>
      </c>
      <c r="B153">
        <v>20</v>
      </c>
      <c r="C153">
        <v>14.4</v>
      </c>
      <c r="D153">
        <v>0</v>
      </c>
      <c r="E153">
        <f t="shared" si="6"/>
        <v>4</v>
      </c>
      <c r="F153">
        <f t="shared" si="7"/>
        <v>4</v>
      </c>
      <c r="G153">
        <f t="shared" si="8"/>
        <v>0</v>
      </c>
      <c r="V153" s="1">
        <v>44713</v>
      </c>
      <c r="W153">
        <v>20</v>
      </c>
      <c r="X153">
        <v>14.4</v>
      </c>
      <c r="Y153">
        <v>0</v>
      </c>
      <c r="Z153">
        <v>664</v>
      </c>
      <c r="AA153">
        <v>476</v>
      </c>
      <c r="AD153">
        <v>20</v>
      </c>
      <c r="AE153">
        <v>664</v>
      </c>
      <c r="AH153">
        <v>14.4</v>
      </c>
      <c r="AI153">
        <v>664</v>
      </c>
      <c r="AL153">
        <v>0</v>
      </c>
      <c r="AM153">
        <v>664</v>
      </c>
      <c r="AP153">
        <v>20</v>
      </c>
      <c r="AQ153">
        <v>476</v>
      </c>
      <c r="AT153">
        <v>14.4</v>
      </c>
      <c r="AU153">
        <v>476</v>
      </c>
      <c r="AX153">
        <v>0</v>
      </c>
      <c r="AY153">
        <v>476</v>
      </c>
    </row>
    <row r="154" spans="1:51" x14ac:dyDescent="0.3">
      <c r="A154" s="1">
        <v>44714</v>
      </c>
      <c r="B154">
        <v>20.3</v>
      </c>
      <c r="C154">
        <v>14.3</v>
      </c>
      <c r="D154">
        <v>0</v>
      </c>
      <c r="E154">
        <f t="shared" si="6"/>
        <v>4</v>
      </c>
      <c r="F154">
        <f t="shared" si="7"/>
        <v>4</v>
      </c>
      <c r="G154">
        <f t="shared" si="8"/>
        <v>0</v>
      </c>
      <c r="V154" s="1">
        <v>44714</v>
      </c>
      <c r="W154">
        <v>20.3</v>
      </c>
      <c r="X154">
        <v>14.3</v>
      </c>
      <c r="Y154">
        <v>0</v>
      </c>
      <c r="Z154">
        <v>779</v>
      </c>
      <c r="AA154">
        <v>501</v>
      </c>
      <c r="AD154">
        <v>20.3</v>
      </c>
      <c r="AE154">
        <v>779</v>
      </c>
      <c r="AH154">
        <v>14.3</v>
      </c>
      <c r="AI154">
        <v>779</v>
      </c>
      <c r="AL154">
        <v>0</v>
      </c>
      <c r="AM154">
        <v>779</v>
      </c>
      <c r="AP154">
        <v>20.3</v>
      </c>
      <c r="AQ154">
        <v>501</v>
      </c>
      <c r="AT154">
        <v>14.3</v>
      </c>
      <c r="AU154">
        <v>501</v>
      </c>
      <c r="AX154">
        <v>0</v>
      </c>
      <c r="AY154">
        <v>501</v>
      </c>
    </row>
    <row r="155" spans="1:51" x14ac:dyDescent="0.3">
      <c r="A155" s="1">
        <v>44715</v>
      </c>
      <c r="B155">
        <v>22.3</v>
      </c>
      <c r="C155">
        <v>12.7</v>
      </c>
      <c r="D155">
        <v>0</v>
      </c>
      <c r="E155">
        <f t="shared" si="6"/>
        <v>4</v>
      </c>
      <c r="F155">
        <f t="shared" si="7"/>
        <v>4</v>
      </c>
      <c r="G155">
        <f t="shared" si="8"/>
        <v>0</v>
      </c>
      <c r="V155" s="1">
        <v>44715</v>
      </c>
      <c r="W155">
        <v>22.3</v>
      </c>
      <c r="X155">
        <v>12.7</v>
      </c>
      <c r="Y155">
        <v>0</v>
      </c>
      <c r="Z155">
        <v>651</v>
      </c>
      <c r="AA155">
        <v>598</v>
      </c>
      <c r="AD155">
        <v>22.3</v>
      </c>
      <c r="AE155">
        <v>651</v>
      </c>
      <c r="AH155">
        <v>12.7</v>
      </c>
      <c r="AI155">
        <v>651</v>
      </c>
      <c r="AL155">
        <v>0</v>
      </c>
      <c r="AM155">
        <v>651</v>
      </c>
      <c r="AP155">
        <v>22.3</v>
      </c>
      <c r="AQ155">
        <v>598</v>
      </c>
      <c r="AT155">
        <v>12.7</v>
      </c>
      <c r="AU155">
        <v>598</v>
      </c>
      <c r="AX155">
        <v>0</v>
      </c>
      <c r="AY155">
        <v>598</v>
      </c>
    </row>
    <row r="156" spans="1:51" x14ac:dyDescent="0.3">
      <c r="A156" s="1">
        <v>44716</v>
      </c>
      <c r="B156">
        <v>21</v>
      </c>
      <c r="C156">
        <v>13.9</v>
      </c>
      <c r="D156">
        <v>6.8</v>
      </c>
      <c r="E156">
        <f t="shared" si="6"/>
        <v>4</v>
      </c>
      <c r="F156">
        <f t="shared" si="7"/>
        <v>4</v>
      </c>
      <c r="G156">
        <f t="shared" si="8"/>
        <v>0</v>
      </c>
      <c r="V156" s="1">
        <v>44716</v>
      </c>
      <c r="W156">
        <v>21</v>
      </c>
      <c r="X156">
        <v>13.9</v>
      </c>
      <c r="Y156">
        <v>6.8</v>
      </c>
      <c r="Z156">
        <v>543</v>
      </c>
      <c r="AA156">
        <v>496</v>
      </c>
      <c r="AD156">
        <v>21</v>
      </c>
      <c r="AE156">
        <v>543</v>
      </c>
      <c r="AH156">
        <v>13.9</v>
      </c>
      <c r="AI156">
        <v>543</v>
      </c>
      <c r="AL156">
        <v>6.8</v>
      </c>
      <c r="AM156">
        <v>543</v>
      </c>
      <c r="AP156">
        <v>21</v>
      </c>
      <c r="AQ156">
        <v>496</v>
      </c>
      <c r="AT156">
        <v>13.9</v>
      </c>
      <c r="AU156">
        <v>496</v>
      </c>
      <c r="AX156">
        <v>6.8</v>
      </c>
      <c r="AY156">
        <v>496</v>
      </c>
    </row>
    <row r="157" spans="1:51" x14ac:dyDescent="0.3">
      <c r="A157" s="1">
        <v>44717</v>
      </c>
      <c r="B157">
        <v>20.8</v>
      </c>
      <c r="C157">
        <v>14.2</v>
      </c>
      <c r="D157">
        <v>0.2</v>
      </c>
      <c r="E157">
        <f t="shared" si="6"/>
        <v>4</v>
      </c>
      <c r="F157">
        <f t="shared" si="7"/>
        <v>4</v>
      </c>
      <c r="G157">
        <f t="shared" si="8"/>
        <v>0</v>
      </c>
      <c r="V157" s="1">
        <v>44717</v>
      </c>
      <c r="W157">
        <v>20.8</v>
      </c>
      <c r="X157">
        <v>14.2</v>
      </c>
      <c r="Y157">
        <v>0.2</v>
      </c>
      <c r="Z157">
        <v>849</v>
      </c>
      <c r="AA157">
        <v>829</v>
      </c>
      <c r="AD157">
        <v>20.8</v>
      </c>
      <c r="AE157">
        <v>849</v>
      </c>
      <c r="AH157">
        <v>14.2</v>
      </c>
      <c r="AI157">
        <v>849</v>
      </c>
      <c r="AL157">
        <v>0.2</v>
      </c>
      <c r="AM157">
        <v>849</v>
      </c>
      <c r="AP157">
        <v>20.8</v>
      </c>
      <c r="AQ157">
        <v>829</v>
      </c>
      <c r="AT157">
        <v>14.2</v>
      </c>
      <c r="AU157">
        <v>829</v>
      </c>
      <c r="AX157">
        <v>0.2</v>
      </c>
      <c r="AY157">
        <v>829</v>
      </c>
    </row>
    <row r="158" spans="1:51" x14ac:dyDescent="0.3">
      <c r="A158" s="1">
        <v>44718</v>
      </c>
      <c r="B158">
        <v>21.7</v>
      </c>
      <c r="C158">
        <v>11.1</v>
      </c>
      <c r="D158">
        <v>2.2000000000000002</v>
      </c>
      <c r="E158">
        <f t="shared" si="6"/>
        <v>4</v>
      </c>
      <c r="F158">
        <f t="shared" si="7"/>
        <v>4</v>
      </c>
      <c r="G158">
        <f t="shared" si="8"/>
        <v>0</v>
      </c>
      <c r="V158" s="1">
        <v>44718</v>
      </c>
      <c r="W158">
        <v>21.7</v>
      </c>
      <c r="X158">
        <v>11.1</v>
      </c>
      <c r="Y158">
        <v>2.2000000000000002</v>
      </c>
      <c r="Z158">
        <v>333</v>
      </c>
      <c r="AA158">
        <v>307</v>
      </c>
      <c r="AD158">
        <v>21.7</v>
      </c>
      <c r="AE158">
        <v>333</v>
      </c>
      <c r="AH158">
        <v>11.1</v>
      </c>
      <c r="AI158">
        <v>333</v>
      </c>
      <c r="AL158">
        <v>2.2000000000000002</v>
      </c>
      <c r="AM158">
        <v>333</v>
      </c>
      <c r="AP158">
        <v>21.7</v>
      </c>
      <c r="AQ158">
        <v>307</v>
      </c>
      <c r="AT158">
        <v>11.1</v>
      </c>
      <c r="AU158">
        <v>307</v>
      </c>
      <c r="AX158">
        <v>2.2000000000000002</v>
      </c>
      <c r="AY158">
        <v>307</v>
      </c>
    </row>
    <row r="159" spans="1:51" x14ac:dyDescent="0.3">
      <c r="A159" s="1">
        <v>44719</v>
      </c>
      <c r="B159">
        <v>16.899999999999999</v>
      </c>
      <c r="C159">
        <v>7.9</v>
      </c>
      <c r="D159">
        <v>0.2</v>
      </c>
      <c r="E159">
        <f t="shared" si="6"/>
        <v>4</v>
      </c>
      <c r="F159">
        <f t="shared" si="7"/>
        <v>4</v>
      </c>
      <c r="G159">
        <f t="shared" si="8"/>
        <v>0</v>
      </c>
      <c r="V159" s="1">
        <v>44719</v>
      </c>
      <c r="W159">
        <v>16.899999999999999</v>
      </c>
      <c r="X159">
        <v>7.9</v>
      </c>
      <c r="Y159">
        <v>0.2</v>
      </c>
      <c r="Z159">
        <v>637</v>
      </c>
      <c r="AA159">
        <v>509</v>
      </c>
      <c r="AD159">
        <v>16.899999999999999</v>
      </c>
      <c r="AE159">
        <v>637</v>
      </c>
      <c r="AH159">
        <v>7.9</v>
      </c>
      <c r="AI159">
        <v>637</v>
      </c>
      <c r="AL159">
        <v>0.2</v>
      </c>
      <c r="AM159">
        <v>637</v>
      </c>
      <c r="AP159">
        <v>16.899999999999999</v>
      </c>
      <c r="AQ159">
        <v>509</v>
      </c>
      <c r="AT159">
        <v>7.9</v>
      </c>
      <c r="AU159">
        <v>509</v>
      </c>
      <c r="AX159">
        <v>0.2</v>
      </c>
      <c r="AY159">
        <v>509</v>
      </c>
    </row>
    <row r="160" spans="1:51" x14ac:dyDescent="0.3">
      <c r="A160" s="1">
        <v>44720</v>
      </c>
      <c r="B160">
        <v>20.100000000000001</v>
      </c>
      <c r="C160">
        <v>14.1</v>
      </c>
      <c r="D160">
        <v>0</v>
      </c>
      <c r="E160">
        <f t="shared" si="6"/>
        <v>4</v>
      </c>
      <c r="F160">
        <f t="shared" si="7"/>
        <v>4</v>
      </c>
      <c r="G160">
        <f t="shared" si="8"/>
        <v>0</v>
      </c>
      <c r="V160" s="1">
        <v>44720</v>
      </c>
      <c r="W160">
        <v>20.100000000000001</v>
      </c>
      <c r="X160">
        <v>14.1</v>
      </c>
      <c r="Y160">
        <v>0</v>
      </c>
      <c r="Z160">
        <v>635</v>
      </c>
      <c r="AA160">
        <v>496</v>
      </c>
      <c r="AD160">
        <v>20.100000000000001</v>
      </c>
      <c r="AE160">
        <v>635</v>
      </c>
      <c r="AH160">
        <v>14.1</v>
      </c>
      <c r="AI160">
        <v>635</v>
      </c>
      <c r="AL160">
        <v>0</v>
      </c>
      <c r="AM160">
        <v>635</v>
      </c>
      <c r="AP160">
        <v>20.100000000000001</v>
      </c>
      <c r="AQ160">
        <v>496</v>
      </c>
      <c r="AT160">
        <v>14.1</v>
      </c>
      <c r="AU160">
        <v>496</v>
      </c>
      <c r="AX160">
        <v>0</v>
      </c>
      <c r="AY160">
        <v>496</v>
      </c>
    </row>
    <row r="161" spans="1:51" x14ac:dyDescent="0.3">
      <c r="A161" s="1">
        <v>44721</v>
      </c>
      <c r="B161">
        <v>17.600000000000001</v>
      </c>
      <c r="C161">
        <v>14</v>
      </c>
      <c r="D161">
        <v>0</v>
      </c>
      <c r="E161">
        <f t="shared" si="6"/>
        <v>4</v>
      </c>
      <c r="F161">
        <f t="shared" si="7"/>
        <v>4</v>
      </c>
      <c r="G161">
        <f t="shared" si="8"/>
        <v>0</v>
      </c>
      <c r="V161" s="1">
        <v>44721</v>
      </c>
      <c r="W161">
        <v>17.600000000000001</v>
      </c>
      <c r="X161">
        <v>14</v>
      </c>
      <c r="Y161">
        <v>0</v>
      </c>
      <c r="Z161">
        <v>610</v>
      </c>
      <c r="AA161">
        <v>393</v>
      </c>
      <c r="AD161">
        <v>17.600000000000001</v>
      </c>
      <c r="AE161">
        <v>610</v>
      </c>
      <c r="AH161">
        <v>14</v>
      </c>
      <c r="AI161">
        <v>610</v>
      </c>
      <c r="AL161">
        <v>0</v>
      </c>
      <c r="AM161">
        <v>610</v>
      </c>
      <c r="AP161">
        <v>17.600000000000001</v>
      </c>
      <c r="AQ161">
        <v>393</v>
      </c>
      <c r="AT161">
        <v>14</v>
      </c>
      <c r="AU161">
        <v>393</v>
      </c>
      <c r="AX161">
        <v>0</v>
      </c>
      <c r="AY161">
        <v>393</v>
      </c>
    </row>
    <row r="162" spans="1:51" x14ac:dyDescent="0.3">
      <c r="A162" s="1">
        <v>44722</v>
      </c>
      <c r="B162">
        <v>17.3</v>
      </c>
      <c r="C162">
        <v>14</v>
      </c>
      <c r="D162">
        <v>0</v>
      </c>
      <c r="E162">
        <f t="shared" si="6"/>
        <v>4</v>
      </c>
      <c r="F162">
        <f t="shared" si="7"/>
        <v>4</v>
      </c>
      <c r="G162">
        <f t="shared" si="8"/>
        <v>0</v>
      </c>
      <c r="V162" s="1">
        <v>44722</v>
      </c>
      <c r="W162">
        <v>17.3</v>
      </c>
      <c r="X162">
        <v>14</v>
      </c>
      <c r="Y162">
        <v>0</v>
      </c>
      <c r="Z162">
        <v>578</v>
      </c>
      <c r="AA162">
        <v>514</v>
      </c>
      <c r="AD162">
        <v>17.3</v>
      </c>
      <c r="AE162">
        <v>578</v>
      </c>
      <c r="AH162">
        <v>14</v>
      </c>
      <c r="AI162">
        <v>578</v>
      </c>
      <c r="AL162">
        <v>0</v>
      </c>
      <c r="AM162">
        <v>578</v>
      </c>
      <c r="AP162">
        <v>17.3</v>
      </c>
      <c r="AQ162">
        <v>514</v>
      </c>
      <c r="AT162">
        <v>14</v>
      </c>
      <c r="AU162">
        <v>514</v>
      </c>
      <c r="AX162">
        <v>0</v>
      </c>
      <c r="AY162">
        <v>514</v>
      </c>
    </row>
    <row r="163" spans="1:51" x14ac:dyDescent="0.3">
      <c r="A163" s="1">
        <v>44723</v>
      </c>
      <c r="B163">
        <v>18.8</v>
      </c>
      <c r="C163">
        <v>14</v>
      </c>
      <c r="D163">
        <v>0</v>
      </c>
      <c r="E163">
        <f t="shared" si="6"/>
        <v>4</v>
      </c>
      <c r="F163">
        <f t="shared" si="7"/>
        <v>4</v>
      </c>
      <c r="G163">
        <f t="shared" si="8"/>
        <v>0</v>
      </c>
      <c r="V163" s="1">
        <v>44723</v>
      </c>
      <c r="W163">
        <v>18.8</v>
      </c>
      <c r="X163">
        <v>14</v>
      </c>
      <c r="Y163">
        <v>0</v>
      </c>
      <c r="Z163">
        <v>584</v>
      </c>
      <c r="AA163">
        <v>470</v>
      </c>
      <c r="AD163">
        <v>18.8</v>
      </c>
      <c r="AE163">
        <v>584</v>
      </c>
      <c r="AH163">
        <v>14</v>
      </c>
      <c r="AI163">
        <v>584</v>
      </c>
      <c r="AL163">
        <v>0</v>
      </c>
      <c r="AM163">
        <v>584</v>
      </c>
      <c r="AP163">
        <v>18.8</v>
      </c>
      <c r="AQ163">
        <v>470</v>
      </c>
      <c r="AT163">
        <v>14</v>
      </c>
      <c r="AU163">
        <v>470</v>
      </c>
      <c r="AX163">
        <v>0</v>
      </c>
      <c r="AY163">
        <v>470</v>
      </c>
    </row>
    <row r="164" spans="1:51" x14ac:dyDescent="0.3">
      <c r="A164" s="1">
        <v>44724</v>
      </c>
      <c r="B164">
        <v>19.399999999999999</v>
      </c>
      <c r="C164">
        <v>13.5</v>
      </c>
      <c r="D164">
        <v>0</v>
      </c>
      <c r="E164">
        <f t="shared" si="6"/>
        <v>4</v>
      </c>
      <c r="F164">
        <f t="shared" si="7"/>
        <v>4</v>
      </c>
      <c r="G164">
        <f t="shared" si="8"/>
        <v>0</v>
      </c>
      <c r="V164" s="1">
        <v>44724</v>
      </c>
      <c r="W164">
        <v>19.399999999999999</v>
      </c>
      <c r="X164">
        <v>13.5</v>
      </c>
      <c r="Y164">
        <v>0</v>
      </c>
      <c r="Z164">
        <v>605</v>
      </c>
      <c r="AA164">
        <v>498</v>
      </c>
      <c r="AD164">
        <v>19.399999999999999</v>
      </c>
      <c r="AE164">
        <v>605</v>
      </c>
      <c r="AH164">
        <v>13.5</v>
      </c>
      <c r="AI164">
        <v>605</v>
      </c>
      <c r="AL164">
        <v>0</v>
      </c>
      <c r="AM164">
        <v>605</v>
      </c>
      <c r="AP164">
        <v>19.399999999999999</v>
      </c>
      <c r="AQ164">
        <v>498</v>
      </c>
      <c r="AT164">
        <v>13.5</v>
      </c>
      <c r="AU164">
        <v>498</v>
      </c>
      <c r="AX164">
        <v>0</v>
      </c>
      <c r="AY164">
        <v>498</v>
      </c>
    </row>
    <row r="165" spans="1:51" x14ac:dyDescent="0.3">
      <c r="A165" s="1">
        <v>44725</v>
      </c>
      <c r="B165">
        <v>21.7</v>
      </c>
      <c r="C165">
        <v>13.7</v>
      </c>
      <c r="D165">
        <v>0</v>
      </c>
      <c r="E165">
        <f t="shared" si="6"/>
        <v>4</v>
      </c>
      <c r="F165">
        <f t="shared" si="7"/>
        <v>4</v>
      </c>
      <c r="G165">
        <f t="shared" si="8"/>
        <v>0</v>
      </c>
      <c r="V165" s="1">
        <v>44725</v>
      </c>
      <c r="W165">
        <v>21.7</v>
      </c>
      <c r="X165">
        <v>13.7</v>
      </c>
      <c r="Y165">
        <v>0</v>
      </c>
      <c r="Z165">
        <v>523</v>
      </c>
      <c r="AA165">
        <v>356</v>
      </c>
      <c r="AD165">
        <v>21.7</v>
      </c>
      <c r="AE165">
        <v>523</v>
      </c>
      <c r="AH165">
        <v>13.7</v>
      </c>
      <c r="AI165">
        <v>523</v>
      </c>
      <c r="AL165">
        <v>0</v>
      </c>
      <c r="AM165">
        <v>523</v>
      </c>
      <c r="AP165">
        <v>21.7</v>
      </c>
      <c r="AQ165">
        <v>356</v>
      </c>
      <c r="AT165">
        <v>13.7</v>
      </c>
      <c r="AU165">
        <v>356</v>
      </c>
      <c r="AX165">
        <v>0</v>
      </c>
      <c r="AY165">
        <v>356</v>
      </c>
    </row>
    <row r="166" spans="1:51" x14ac:dyDescent="0.3">
      <c r="A166" s="1">
        <v>44726</v>
      </c>
      <c r="B166">
        <v>22.8</v>
      </c>
      <c r="C166">
        <v>11.9</v>
      </c>
      <c r="D166">
        <v>0</v>
      </c>
      <c r="E166">
        <f t="shared" si="6"/>
        <v>4</v>
      </c>
      <c r="F166">
        <f t="shared" si="7"/>
        <v>4</v>
      </c>
      <c r="G166">
        <f t="shared" si="8"/>
        <v>0</v>
      </c>
      <c r="V166" s="1">
        <v>44726</v>
      </c>
      <c r="W166">
        <v>22.8</v>
      </c>
      <c r="X166">
        <v>11.9</v>
      </c>
      <c r="Y166">
        <v>0</v>
      </c>
      <c r="Z166">
        <v>589</v>
      </c>
      <c r="AA166">
        <v>504</v>
      </c>
      <c r="AD166">
        <v>22.8</v>
      </c>
      <c r="AE166">
        <v>589</v>
      </c>
      <c r="AH166">
        <v>11.9</v>
      </c>
      <c r="AI166">
        <v>589</v>
      </c>
      <c r="AL166">
        <v>0</v>
      </c>
      <c r="AM166">
        <v>589</v>
      </c>
      <c r="AP166">
        <v>22.8</v>
      </c>
      <c r="AQ166">
        <v>504</v>
      </c>
      <c r="AT166">
        <v>11.9</v>
      </c>
      <c r="AU166">
        <v>504</v>
      </c>
      <c r="AX166">
        <v>0</v>
      </c>
      <c r="AY166">
        <v>504</v>
      </c>
    </row>
    <row r="167" spans="1:51" x14ac:dyDescent="0.3">
      <c r="A167" s="1">
        <v>44727</v>
      </c>
      <c r="B167">
        <v>23.5</v>
      </c>
      <c r="C167">
        <v>13.8</v>
      </c>
      <c r="D167">
        <v>0</v>
      </c>
      <c r="E167">
        <f t="shared" si="6"/>
        <v>4</v>
      </c>
      <c r="F167">
        <f t="shared" si="7"/>
        <v>4</v>
      </c>
      <c r="G167">
        <f t="shared" si="8"/>
        <v>0</v>
      </c>
      <c r="V167" s="1">
        <v>44727</v>
      </c>
      <c r="W167">
        <v>23.5</v>
      </c>
      <c r="X167">
        <v>13.8</v>
      </c>
      <c r="Y167">
        <v>0</v>
      </c>
      <c r="Z167">
        <v>613</v>
      </c>
      <c r="AA167">
        <v>589</v>
      </c>
      <c r="AD167">
        <v>23.5</v>
      </c>
      <c r="AE167">
        <v>613</v>
      </c>
      <c r="AH167">
        <v>13.8</v>
      </c>
      <c r="AI167">
        <v>613</v>
      </c>
      <c r="AL167">
        <v>0</v>
      </c>
      <c r="AM167">
        <v>613</v>
      </c>
      <c r="AP167">
        <v>23.5</v>
      </c>
      <c r="AQ167">
        <v>589</v>
      </c>
      <c r="AT167">
        <v>13.8</v>
      </c>
      <c r="AU167">
        <v>589</v>
      </c>
      <c r="AX167">
        <v>0</v>
      </c>
      <c r="AY167">
        <v>589</v>
      </c>
    </row>
    <row r="168" spans="1:51" x14ac:dyDescent="0.3">
      <c r="A168" s="1">
        <v>44728</v>
      </c>
      <c r="B168">
        <v>23.7</v>
      </c>
      <c r="C168">
        <v>13.8</v>
      </c>
      <c r="D168">
        <v>0</v>
      </c>
      <c r="E168">
        <f t="shared" si="6"/>
        <v>4</v>
      </c>
      <c r="F168">
        <f t="shared" si="7"/>
        <v>4</v>
      </c>
      <c r="G168">
        <f t="shared" si="8"/>
        <v>0</v>
      </c>
      <c r="V168" s="1">
        <v>44728</v>
      </c>
      <c r="W168">
        <v>23.7</v>
      </c>
      <c r="X168">
        <v>13.8</v>
      </c>
      <c r="Y168">
        <v>0</v>
      </c>
      <c r="Z168">
        <v>655</v>
      </c>
      <c r="AA168">
        <v>513</v>
      </c>
      <c r="AD168">
        <v>23.7</v>
      </c>
      <c r="AE168">
        <v>655</v>
      </c>
      <c r="AH168">
        <v>13.8</v>
      </c>
      <c r="AI168">
        <v>655</v>
      </c>
      <c r="AL168">
        <v>0</v>
      </c>
      <c r="AM168">
        <v>655</v>
      </c>
      <c r="AP168">
        <v>23.7</v>
      </c>
      <c r="AQ168">
        <v>513</v>
      </c>
      <c r="AT168">
        <v>13.8</v>
      </c>
      <c r="AU168">
        <v>513</v>
      </c>
      <c r="AX168">
        <v>0</v>
      </c>
      <c r="AY168">
        <v>513</v>
      </c>
    </row>
    <row r="169" spans="1:51" x14ac:dyDescent="0.3">
      <c r="A169" s="1">
        <v>44729</v>
      </c>
      <c r="B169">
        <v>23.4</v>
      </c>
      <c r="C169">
        <v>13.9</v>
      </c>
      <c r="D169">
        <v>0</v>
      </c>
      <c r="E169">
        <f t="shared" si="6"/>
        <v>4</v>
      </c>
      <c r="F169">
        <f t="shared" si="7"/>
        <v>4</v>
      </c>
      <c r="G169">
        <f t="shared" si="8"/>
        <v>0</v>
      </c>
      <c r="V169" s="1">
        <v>44729</v>
      </c>
      <c r="W169">
        <v>23.4</v>
      </c>
      <c r="X169">
        <v>13.9</v>
      </c>
      <c r="Y169">
        <v>0</v>
      </c>
      <c r="Z169">
        <v>686</v>
      </c>
      <c r="AA169">
        <v>529</v>
      </c>
      <c r="AD169">
        <v>23.4</v>
      </c>
      <c r="AE169">
        <v>686</v>
      </c>
      <c r="AH169">
        <v>13.9</v>
      </c>
      <c r="AI169">
        <v>686</v>
      </c>
      <c r="AL169">
        <v>0</v>
      </c>
      <c r="AM169">
        <v>686</v>
      </c>
      <c r="AP169">
        <v>23.4</v>
      </c>
      <c r="AQ169">
        <v>529</v>
      </c>
      <c r="AT169">
        <v>13.9</v>
      </c>
      <c r="AU169">
        <v>529</v>
      </c>
      <c r="AX169">
        <v>0</v>
      </c>
      <c r="AY169">
        <v>529</v>
      </c>
    </row>
    <row r="170" spans="1:51" x14ac:dyDescent="0.3">
      <c r="A170" s="1">
        <v>44730</v>
      </c>
      <c r="B170">
        <v>21.9</v>
      </c>
      <c r="C170">
        <v>12.6</v>
      </c>
      <c r="D170">
        <v>0</v>
      </c>
      <c r="E170">
        <f t="shared" si="6"/>
        <v>4</v>
      </c>
      <c r="F170">
        <f t="shared" si="7"/>
        <v>4</v>
      </c>
      <c r="G170">
        <f t="shared" si="8"/>
        <v>0</v>
      </c>
      <c r="V170" s="1">
        <v>44730</v>
      </c>
      <c r="W170">
        <v>21.9</v>
      </c>
      <c r="X170">
        <v>12.6</v>
      </c>
      <c r="Y170">
        <v>0</v>
      </c>
      <c r="Z170">
        <v>648</v>
      </c>
      <c r="AA170">
        <v>587</v>
      </c>
      <c r="AD170">
        <v>21.9</v>
      </c>
      <c r="AE170">
        <v>648</v>
      </c>
      <c r="AH170">
        <v>12.6</v>
      </c>
      <c r="AI170">
        <v>648</v>
      </c>
      <c r="AL170">
        <v>0</v>
      </c>
      <c r="AM170">
        <v>648</v>
      </c>
      <c r="AP170">
        <v>21.9</v>
      </c>
      <c r="AQ170">
        <v>587</v>
      </c>
      <c r="AT170">
        <v>12.6</v>
      </c>
      <c r="AU170">
        <v>587</v>
      </c>
      <c r="AX170">
        <v>0</v>
      </c>
      <c r="AY170">
        <v>587</v>
      </c>
    </row>
    <row r="171" spans="1:51" x14ac:dyDescent="0.3">
      <c r="A171" s="1">
        <v>44731</v>
      </c>
      <c r="B171">
        <v>23.3</v>
      </c>
      <c r="C171">
        <v>13.3</v>
      </c>
      <c r="D171">
        <v>0</v>
      </c>
      <c r="E171">
        <f t="shared" si="6"/>
        <v>4</v>
      </c>
      <c r="F171">
        <f t="shared" si="7"/>
        <v>4</v>
      </c>
      <c r="G171">
        <f t="shared" si="8"/>
        <v>0</v>
      </c>
      <c r="V171" s="1">
        <v>44731</v>
      </c>
      <c r="W171">
        <v>23.3</v>
      </c>
      <c r="X171">
        <v>13.3</v>
      </c>
      <c r="Y171">
        <v>0</v>
      </c>
      <c r="Z171">
        <v>712</v>
      </c>
      <c r="AA171">
        <v>673</v>
      </c>
      <c r="AD171">
        <v>23.3</v>
      </c>
      <c r="AE171">
        <v>712</v>
      </c>
      <c r="AH171">
        <v>13.3</v>
      </c>
      <c r="AI171">
        <v>712</v>
      </c>
      <c r="AL171">
        <v>0</v>
      </c>
      <c r="AM171">
        <v>712</v>
      </c>
      <c r="AP171">
        <v>23.3</v>
      </c>
      <c r="AQ171">
        <v>673</v>
      </c>
      <c r="AT171">
        <v>13.3</v>
      </c>
      <c r="AU171">
        <v>673</v>
      </c>
      <c r="AX171">
        <v>0</v>
      </c>
      <c r="AY171">
        <v>673</v>
      </c>
    </row>
    <row r="172" spans="1:51" x14ac:dyDescent="0.3">
      <c r="A172" s="1">
        <v>44732</v>
      </c>
      <c r="B172">
        <v>23.2</v>
      </c>
      <c r="C172">
        <v>12.5</v>
      </c>
      <c r="D172">
        <v>0</v>
      </c>
      <c r="E172">
        <f t="shared" si="6"/>
        <v>4</v>
      </c>
      <c r="F172">
        <f t="shared" si="7"/>
        <v>4</v>
      </c>
      <c r="G172">
        <f t="shared" si="8"/>
        <v>0</v>
      </c>
      <c r="V172" s="1">
        <v>44732</v>
      </c>
      <c r="W172">
        <v>23.2</v>
      </c>
      <c r="X172">
        <v>12.5</v>
      </c>
      <c r="Y172">
        <v>0</v>
      </c>
      <c r="Z172">
        <v>496</v>
      </c>
      <c r="AA172">
        <v>421</v>
      </c>
      <c r="AD172">
        <v>23.2</v>
      </c>
      <c r="AE172">
        <v>496</v>
      </c>
      <c r="AH172">
        <v>12.5</v>
      </c>
      <c r="AI172">
        <v>496</v>
      </c>
      <c r="AL172">
        <v>0</v>
      </c>
      <c r="AM172">
        <v>496</v>
      </c>
      <c r="AP172">
        <v>23.2</v>
      </c>
      <c r="AQ172">
        <v>421</v>
      </c>
      <c r="AT172">
        <v>12.5</v>
      </c>
      <c r="AU172">
        <v>421</v>
      </c>
      <c r="AX172">
        <v>0</v>
      </c>
      <c r="AY172">
        <v>421</v>
      </c>
    </row>
    <row r="173" spans="1:51" x14ac:dyDescent="0.3">
      <c r="A173" s="1">
        <v>44733</v>
      </c>
      <c r="B173">
        <v>22.8</v>
      </c>
      <c r="C173">
        <v>13.9</v>
      </c>
      <c r="D173">
        <v>0</v>
      </c>
      <c r="E173">
        <f t="shared" si="6"/>
        <v>4</v>
      </c>
      <c r="F173">
        <f t="shared" si="7"/>
        <v>4</v>
      </c>
      <c r="G173">
        <f t="shared" si="8"/>
        <v>0</v>
      </c>
      <c r="V173" s="1">
        <v>44733</v>
      </c>
      <c r="W173">
        <v>22.8</v>
      </c>
      <c r="X173">
        <v>13.9</v>
      </c>
      <c r="Y173">
        <v>0</v>
      </c>
      <c r="Z173">
        <v>655</v>
      </c>
      <c r="AA173">
        <v>522</v>
      </c>
      <c r="AD173">
        <v>22.8</v>
      </c>
      <c r="AE173">
        <v>655</v>
      </c>
      <c r="AH173">
        <v>13.9</v>
      </c>
      <c r="AI173">
        <v>655</v>
      </c>
      <c r="AL173">
        <v>0</v>
      </c>
      <c r="AM173">
        <v>655</v>
      </c>
      <c r="AP173">
        <v>22.8</v>
      </c>
      <c r="AQ173">
        <v>522</v>
      </c>
      <c r="AT173">
        <v>13.9</v>
      </c>
      <c r="AU173">
        <v>522</v>
      </c>
      <c r="AX173">
        <v>0</v>
      </c>
      <c r="AY173">
        <v>522</v>
      </c>
    </row>
    <row r="174" spans="1:51" x14ac:dyDescent="0.3">
      <c r="A174" s="1">
        <v>44734</v>
      </c>
      <c r="B174">
        <v>23.8</v>
      </c>
      <c r="C174">
        <v>13.9</v>
      </c>
      <c r="D174">
        <v>0.2</v>
      </c>
      <c r="E174">
        <f t="shared" si="6"/>
        <v>4</v>
      </c>
      <c r="F174">
        <f t="shared" si="7"/>
        <v>4</v>
      </c>
      <c r="G174">
        <f t="shared" si="8"/>
        <v>0</v>
      </c>
      <c r="V174" s="1">
        <v>44734</v>
      </c>
      <c r="W174">
        <v>23.8</v>
      </c>
      <c r="X174">
        <v>13.9</v>
      </c>
      <c r="Y174">
        <v>0.2</v>
      </c>
      <c r="Z174">
        <v>677</v>
      </c>
      <c r="AA174">
        <v>510</v>
      </c>
      <c r="AD174">
        <v>23.8</v>
      </c>
      <c r="AE174">
        <v>677</v>
      </c>
      <c r="AH174">
        <v>13.9</v>
      </c>
      <c r="AI174">
        <v>677</v>
      </c>
      <c r="AL174">
        <v>0.2</v>
      </c>
      <c r="AM174">
        <v>677</v>
      </c>
      <c r="AP174">
        <v>23.8</v>
      </c>
      <c r="AQ174">
        <v>510</v>
      </c>
      <c r="AT174">
        <v>13.9</v>
      </c>
      <c r="AU174">
        <v>510</v>
      </c>
      <c r="AX174">
        <v>0.2</v>
      </c>
      <c r="AY174">
        <v>510</v>
      </c>
    </row>
    <row r="175" spans="1:51" x14ac:dyDescent="0.3">
      <c r="A175" s="1">
        <v>44735</v>
      </c>
      <c r="B175">
        <v>23.3</v>
      </c>
      <c r="C175">
        <v>13.9</v>
      </c>
      <c r="D175">
        <v>0</v>
      </c>
      <c r="E175">
        <f t="shared" si="6"/>
        <v>4</v>
      </c>
      <c r="F175">
        <f t="shared" si="7"/>
        <v>4</v>
      </c>
      <c r="G175">
        <f t="shared" si="8"/>
        <v>0</v>
      </c>
      <c r="V175" s="1">
        <v>44735</v>
      </c>
      <c r="W175">
        <v>23.3</v>
      </c>
      <c r="X175">
        <v>13.9</v>
      </c>
      <c r="Y175">
        <v>0</v>
      </c>
      <c r="Z175">
        <v>685</v>
      </c>
      <c r="AA175">
        <v>501</v>
      </c>
      <c r="AD175">
        <v>23.3</v>
      </c>
      <c r="AE175">
        <v>685</v>
      </c>
      <c r="AH175">
        <v>13.9</v>
      </c>
      <c r="AI175">
        <v>685</v>
      </c>
      <c r="AL175">
        <v>0</v>
      </c>
      <c r="AM175">
        <v>685</v>
      </c>
      <c r="AP175">
        <v>23.3</v>
      </c>
      <c r="AQ175">
        <v>501</v>
      </c>
      <c r="AT175">
        <v>13.9</v>
      </c>
      <c r="AU175">
        <v>501</v>
      </c>
      <c r="AX175">
        <v>0</v>
      </c>
      <c r="AY175">
        <v>501</v>
      </c>
    </row>
    <row r="176" spans="1:51" x14ac:dyDescent="0.3">
      <c r="A176" s="1">
        <v>44736</v>
      </c>
      <c r="B176">
        <v>22.8</v>
      </c>
      <c r="C176">
        <v>13.9</v>
      </c>
      <c r="D176">
        <v>0</v>
      </c>
      <c r="E176">
        <f t="shared" si="6"/>
        <v>4</v>
      </c>
      <c r="F176">
        <f t="shared" si="7"/>
        <v>4</v>
      </c>
      <c r="G176">
        <f t="shared" si="8"/>
        <v>0</v>
      </c>
      <c r="V176" s="1">
        <v>44736</v>
      </c>
      <c r="W176">
        <v>22.8</v>
      </c>
      <c r="X176">
        <v>13.9</v>
      </c>
      <c r="Y176">
        <v>0</v>
      </c>
      <c r="Z176">
        <v>618</v>
      </c>
      <c r="AA176">
        <v>577</v>
      </c>
      <c r="AD176">
        <v>22.8</v>
      </c>
      <c r="AE176">
        <v>618</v>
      </c>
      <c r="AH176">
        <v>13.9</v>
      </c>
      <c r="AI176">
        <v>618</v>
      </c>
      <c r="AL176">
        <v>0</v>
      </c>
      <c r="AM176">
        <v>618</v>
      </c>
      <c r="AP176">
        <v>22.8</v>
      </c>
      <c r="AQ176">
        <v>577</v>
      </c>
      <c r="AT176">
        <v>13.9</v>
      </c>
      <c r="AU176">
        <v>577</v>
      </c>
      <c r="AX176">
        <v>0</v>
      </c>
      <c r="AY176">
        <v>577</v>
      </c>
    </row>
    <row r="177" spans="1:51" x14ac:dyDescent="0.3">
      <c r="A177" s="1">
        <v>44737</v>
      </c>
      <c r="B177">
        <v>22.7</v>
      </c>
      <c r="C177">
        <v>13.9</v>
      </c>
      <c r="D177">
        <v>0</v>
      </c>
      <c r="E177">
        <f t="shared" si="6"/>
        <v>4</v>
      </c>
      <c r="F177">
        <f t="shared" si="7"/>
        <v>4</v>
      </c>
      <c r="G177">
        <f t="shared" si="8"/>
        <v>0</v>
      </c>
      <c r="V177" s="1">
        <v>44737</v>
      </c>
      <c r="W177">
        <v>22.7</v>
      </c>
      <c r="X177">
        <v>13.9</v>
      </c>
      <c r="Y177">
        <v>0</v>
      </c>
      <c r="Z177">
        <v>708</v>
      </c>
      <c r="AA177">
        <v>574</v>
      </c>
      <c r="AD177">
        <v>22.7</v>
      </c>
      <c r="AE177">
        <v>708</v>
      </c>
      <c r="AH177">
        <v>13.9</v>
      </c>
      <c r="AI177">
        <v>708</v>
      </c>
      <c r="AL177">
        <v>0</v>
      </c>
      <c r="AM177">
        <v>708</v>
      </c>
      <c r="AP177">
        <v>22.7</v>
      </c>
      <c r="AQ177">
        <v>574</v>
      </c>
      <c r="AT177">
        <v>13.9</v>
      </c>
      <c r="AU177">
        <v>574</v>
      </c>
      <c r="AX177">
        <v>0</v>
      </c>
      <c r="AY177">
        <v>574</v>
      </c>
    </row>
    <row r="178" spans="1:51" x14ac:dyDescent="0.3">
      <c r="A178" s="1">
        <v>44738</v>
      </c>
      <c r="B178">
        <v>22.7</v>
      </c>
      <c r="C178">
        <v>13.9</v>
      </c>
      <c r="D178">
        <v>0</v>
      </c>
      <c r="E178">
        <f t="shared" si="6"/>
        <v>4</v>
      </c>
      <c r="F178">
        <f t="shared" si="7"/>
        <v>4</v>
      </c>
      <c r="G178">
        <f t="shared" si="8"/>
        <v>0</v>
      </c>
      <c r="V178" s="1">
        <v>44738</v>
      </c>
      <c r="W178">
        <v>22.7</v>
      </c>
      <c r="X178">
        <v>13.9</v>
      </c>
      <c r="Y178">
        <v>0</v>
      </c>
      <c r="Z178">
        <v>712</v>
      </c>
      <c r="AA178">
        <v>630</v>
      </c>
      <c r="AD178">
        <v>22.7</v>
      </c>
      <c r="AE178">
        <v>712</v>
      </c>
      <c r="AH178">
        <v>13.9</v>
      </c>
      <c r="AI178">
        <v>712</v>
      </c>
      <c r="AL178">
        <v>0</v>
      </c>
      <c r="AM178">
        <v>712</v>
      </c>
      <c r="AP178">
        <v>22.7</v>
      </c>
      <c r="AQ178">
        <v>630</v>
      </c>
      <c r="AT178">
        <v>13.9</v>
      </c>
      <c r="AU178">
        <v>630</v>
      </c>
      <c r="AX178">
        <v>0</v>
      </c>
      <c r="AY178">
        <v>630</v>
      </c>
    </row>
    <row r="179" spans="1:51" x14ac:dyDescent="0.3">
      <c r="A179" s="1">
        <v>44739</v>
      </c>
      <c r="B179">
        <v>22.3</v>
      </c>
      <c r="C179">
        <v>13.3</v>
      </c>
      <c r="D179">
        <v>0</v>
      </c>
      <c r="E179">
        <f t="shared" si="6"/>
        <v>4</v>
      </c>
      <c r="F179">
        <f t="shared" si="7"/>
        <v>4</v>
      </c>
      <c r="G179">
        <f t="shared" si="8"/>
        <v>0</v>
      </c>
      <c r="V179" s="1">
        <v>44739</v>
      </c>
      <c r="W179">
        <v>22.3</v>
      </c>
      <c r="X179">
        <v>13.3</v>
      </c>
      <c r="Y179">
        <v>0</v>
      </c>
      <c r="Z179">
        <v>437</v>
      </c>
      <c r="AA179">
        <v>304</v>
      </c>
      <c r="AD179">
        <v>22.3</v>
      </c>
      <c r="AE179">
        <v>437</v>
      </c>
      <c r="AH179">
        <v>13.3</v>
      </c>
      <c r="AI179">
        <v>437</v>
      </c>
      <c r="AL179">
        <v>0</v>
      </c>
      <c r="AM179">
        <v>437</v>
      </c>
      <c r="AP179">
        <v>22.3</v>
      </c>
      <c r="AQ179">
        <v>304</v>
      </c>
      <c r="AT179">
        <v>13.3</v>
      </c>
      <c r="AU179">
        <v>304</v>
      </c>
      <c r="AX179">
        <v>0</v>
      </c>
      <c r="AY179">
        <v>304</v>
      </c>
    </row>
    <row r="180" spans="1:51" x14ac:dyDescent="0.3">
      <c r="A180" s="1">
        <v>44740</v>
      </c>
      <c r="B180">
        <v>20.100000000000001</v>
      </c>
      <c r="C180">
        <v>12.8</v>
      </c>
      <c r="D180">
        <v>0</v>
      </c>
      <c r="E180">
        <f t="shared" si="6"/>
        <v>4</v>
      </c>
      <c r="F180">
        <f t="shared" si="7"/>
        <v>4</v>
      </c>
      <c r="G180">
        <f t="shared" si="8"/>
        <v>0</v>
      </c>
      <c r="V180" s="1">
        <v>44740</v>
      </c>
      <c r="W180">
        <v>20.100000000000001</v>
      </c>
      <c r="X180">
        <v>12.8</v>
      </c>
      <c r="Y180">
        <v>0</v>
      </c>
      <c r="Z180">
        <v>623</v>
      </c>
      <c r="AA180">
        <v>444</v>
      </c>
      <c r="AD180">
        <v>20.100000000000001</v>
      </c>
      <c r="AE180">
        <v>623</v>
      </c>
      <c r="AH180">
        <v>12.8</v>
      </c>
      <c r="AI180">
        <v>623</v>
      </c>
      <c r="AL180">
        <v>0</v>
      </c>
      <c r="AM180">
        <v>623</v>
      </c>
      <c r="AP180">
        <v>20.100000000000001</v>
      </c>
      <c r="AQ180">
        <v>444</v>
      </c>
      <c r="AT180">
        <v>12.8</v>
      </c>
      <c r="AU180">
        <v>444</v>
      </c>
      <c r="AX180">
        <v>0</v>
      </c>
      <c r="AY180">
        <v>444</v>
      </c>
    </row>
    <row r="181" spans="1:51" x14ac:dyDescent="0.3">
      <c r="A181" s="1">
        <v>44741</v>
      </c>
      <c r="B181">
        <v>18.899999999999999</v>
      </c>
      <c r="C181">
        <v>9.5</v>
      </c>
      <c r="D181">
        <v>0</v>
      </c>
      <c r="E181">
        <f t="shared" si="6"/>
        <v>4</v>
      </c>
      <c r="F181">
        <f t="shared" si="7"/>
        <v>4</v>
      </c>
      <c r="G181">
        <f t="shared" si="8"/>
        <v>0</v>
      </c>
      <c r="V181" s="1">
        <v>44741</v>
      </c>
      <c r="W181">
        <v>18.899999999999999</v>
      </c>
      <c r="X181">
        <v>9.5</v>
      </c>
      <c r="Y181">
        <v>0</v>
      </c>
      <c r="Z181">
        <v>566</v>
      </c>
      <c r="AA181">
        <v>421</v>
      </c>
      <c r="AD181">
        <v>18.899999999999999</v>
      </c>
      <c r="AE181">
        <v>566</v>
      </c>
      <c r="AH181">
        <v>9.5</v>
      </c>
      <c r="AI181">
        <v>566</v>
      </c>
      <c r="AL181">
        <v>0</v>
      </c>
      <c r="AM181">
        <v>566</v>
      </c>
      <c r="AP181">
        <v>18.899999999999999</v>
      </c>
      <c r="AQ181">
        <v>421</v>
      </c>
      <c r="AT181">
        <v>9.5</v>
      </c>
      <c r="AU181">
        <v>421</v>
      </c>
      <c r="AX181">
        <v>0</v>
      </c>
      <c r="AY181">
        <v>421</v>
      </c>
    </row>
    <row r="182" spans="1:51" x14ac:dyDescent="0.3">
      <c r="A182" s="1">
        <v>44742</v>
      </c>
      <c r="B182">
        <v>21.3</v>
      </c>
      <c r="C182">
        <v>11.7</v>
      </c>
      <c r="D182">
        <v>0.8</v>
      </c>
      <c r="E182">
        <f t="shared" si="6"/>
        <v>4</v>
      </c>
      <c r="F182">
        <f t="shared" si="7"/>
        <v>4</v>
      </c>
      <c r="G182">
        <f t="shared" si="8"/>
        <v>0</v>
      </c>
      <c r="V182" s="1">
        <v>44742</v>
      </c>
      <c r="W182">
        <v>21.3</v>
      </c>
      <c r="X182">
        <v>11.7</v>
      </c>
      <c r="Y182">
        <v>0.8</v>
      </c>
      <c r="Z182">
        <v>529</v>
      </c>
      <c r="AA182">
        <v>398</v>
      </c>
      <c r="AD182">
        <v>21.3</v>
      </c>
      <c r="AE182">
        <v>529</v>
      </c>
      <c r="AH182">
        <v>11.7</v>
      </c>
      <c r="AI182">
        <v>529</v>
      </c>
      <c r="AL182">
        <v>0.8</v>
      </c>
      <c r="AM182">
        <v>529</v>
      </c>
      <c r="AP182">
        <v>21.3</v>
      </c>
      <c r="AQ182">
        <v>398</v>
      </c>
      <c r="AT182">
        <v>11.7</v>
      </c>
      <c r="AU182">
        <v>398</v>
      </c>
      <c r="AX182">
        <v>0.8</v>
      </c>
      <c r="AY182">
        <v>398</v>
      </c>
    </row>
    <row r="183" spans="1:51" x14ac:dyDescent="0.3">
      <c r="A183" s="1">
        <v>44743</v>
      </c>
      <c r="B183">
        <v>15.7</v>
      </c>
      <c r="C183">
        <v>5</v>
      </c>
      <c r="D183">
        <v>2.6</v>
      </c>
      <c r="E183">
        <f t="shared" si="6"/>
        <v>4</v>
      </c>
      <c r="F183">
        <f t="shared" si="7"/>
        <v>4</v>
      </c>
      <c r="G183">
        <f t="shared" si="8"/>
        <v>0</v>
      </c>
      <c r="V183" s="1">
        <v>44743</v>
      </c>
      <c r="W183">
        <v>15.7</v>
      </c>
      <c r="X183">
        <v>5</v>
      </c>
      <c r="Y183">
        <v>2.6</v>
      </c>
      <c r="Z183">
        <v>164</v>
      </c>
      <c r="AA183">
        <v>129</v>
      </c>
      <c r="AD183">
        <v>15.7</v>
      </c>
      <c r="AE183">
        <v>164</v>
      </c>
      <c r="AH183">
        <v>5</v>
      </c>
      <c r="AI183">
        <v>164</v>
      </c>
      <c r="AL183">
        <v>2.6</v>
      </c>
      <c r="AM183">
        <v>164</v>
      </c>
      <c r="AP183">
        <v>15.7</v>
      </c>
      <c r="AQ183">
        <v>129</v>
      </c>
      <c r="AT183">
        <v>5</v>
      </c>
      <c r="AU183">
        <v>129</v>
      </c>
      <c r="AX183">
        <v>2.6</v>
      </c>
      <c r="AY183">
        <v>129</v>
      </c>
    </row>
    <row r="184" spans="1:51" x14ac:dyDescent="0.3">
      <c r="A184" s="1">
        <v>44744</v>
      </c>
      <c r="B184">
        <v>17.100000000000001</v>
      </c>
      <c r="C184">
        <v>5.2</v>
      </c>
      <c r="D184">
        <v>23.2</v>
      </c>
      <c r="E184">
        <f t="shared" si="6"/>
        <v>4</v>
      </c>
      <c r="F184">
        <f t="shared" si="7"/>
        <v>4</v>
      </c>
      <c r="G184">
        <f t="shared" si="8"/>
        <v>0</v>
      </c>
      <c r="V184" s="1">
        <v>44744</v>
      </c>
      <c r="W184">
        <v>17.100000000000001</v>
      </c>
      <c r="X184">
        <v>5.2</v>
      </c>
      <c r="Y184">
        <v>23.2</v>
      </c>
      <c r="Z184">
        <v>186</v>
      </c>
      <c r="AA184">
        <v>52</v>
      </c>
      <c r="AD184">
        <v>17.100000000000001</v>
      </c>
      <c r="AE184">
        <v>186</v>
      </c>
      <c r="AH184">
        <v>5.2</v>
      </c>
      <c r="AI184">
        <v>186</v>
      </c>
      <c r="AL184">
        <v>23.2</v>
      </c>
      <c r="AM184">
        <v>186</v>
      </c>
      <c r="AP184">
        <v>17.100000000000001</v>
      </c>
      <c r="AQ184">
        <v>52</v>
      </c>
      <c r="AT184">
        <v>5.2</v>
      </c>
      <c r="AU184">
        <v>52</v>
      </c>
      <c r="AX184">
        <v>23.2</v>
      </c>
      <c r="AY184">
        <v>52</v>
      </c>
    </row>
    <row r="185" spans="1:51" x14ac:dyDescent="0.3">
      <c r="A185" s="1">
        <v>44745</v>
      </c>
      <c r="B185">
        <v>18.399999999999999</v>
      </c>
      <c r="C185">
        <v>12.5</v>
      </c>
      <c r="D185">
        <v>2</v>
      </c>
      <c r="E185">
        <f t="shared" si="6"/>
        <v>4</v>
      </c>
      <c r="F185">
        <f t="shared" si="7"/>
        <v>4</v>
      </c>
      <c r="G185">
        <f t="shared" si="8"/>
        <v>0</v>
      </c>
      <c r="V185" s="1">
        <v>44745</v>
      </c>
      <c r="W185">
        <v>18.399999999999999</v>
      </c>
      <c r="X185">
        <v>12.5</v>
      </c>
      <c r="Y185">
        <v>2</v>
      </c>
      <c r="Z185">
        <v>711</v>
      </c>
      <c r="AA185">
        <v>538</v>
      </c>
      <c r="AD185">
        <v>18.399999999999999</v>
      </c>
      <c r="AE185">
        <v>711</v>
      </c>
      <c r="AH185">
        <v>12.5</v>
      </c>
      <c r="AI185">
        <v>711</v>
      </c>
      <c r="AL185">
        <v>2</v>
      </c>
      <c r="AM185">
        <v>711</v>
      </c>
      <c r="AP185">
        <v>18.399999999999999</v>
      </c>
      <c r="AQ185">
        <v>538</v>
      </c>
      <c r="AT185">
        <v>12.5</v>
      </c>
      <c r="AU185">
        <v>538</v>
      </c>
      <c r="AX185">
        <v>2</v>
      </c>
      <c r="AY185">
        <v>538</v>
      </c>
    </row>
    <row r="186" spans="1:51" x14ac:dyDescent="0.3">
      <c r="A186" s="1">
        <v>44746</v>
      </c>
      <c r="B186">
        <v>14.2</v>
      </c>
      <c r="C186">
        <v>5.5</v>
      </c>
      <c r="D186">
        <v>0.2</v>
      </c>
      <c r="E186">
        <f t="shared" si="6"/>
        <v>4</v>
      </c>
      <c r="F186">
        <f t="shared" si="7"/>
        <v>4</v>
      </c>
      <c r="G186">
        <f t="shared" si="8"/>
        <v>0</v>
      </c>
      <c r="V186" s="1">
        <v>44746</v>
      </c>
      <c r="W186">
        <v>14.2</v>
      </c>
      <c r="X186">
        <v>5.5</v>
      </c>
      <c r="Y186">
        <v>0.2</v>
      </c>
      <c r="Z186">
        <v>257</v>
      </c>
      <c r="AA186">
        <v>271</v>
      </c>
      <c r="AD186">
        <v>14.2</v>
      </c>
      <c r="AE186">
        <v>257</v>
      </c>
      <c r="AH186">
        <v>5.5</v>
      </c>
      <c r="AI186">
        <v>257</v>
      </c>
      <c r="AL186">
        <v>0.2</v>
      </c>
      <c r="AM186">
        <v>257</v>
      </c>
      <c r="AP186">
        <v>14.2</v>
      </c>
      <c r="AQ186">
        <v>271</v>
      </c>
      <c r="AT186">
        <v>5.5</v>
      </c>
      <c r="AU186">
        <v>271</v>
      </c>
      <c r="AX186">
        <v>0.2</v>
      </c>
      <c r="AY186">
        <v>271</v>
      </c>
    </row>
    <row r="187" spans="1:51" x14ac:dyDescent="0.3">
      <c r="A187" s="1">
        <v>44747</v>
      </c>
      <c r="B187">
        <v>14</v>
      </c>
      <c r="C187">
        <v>5.3</v>
      </c>
      <c r="D187">
        <v>12.8</v>
      </c>
      <c r="E187">
        <f t="shared" si="6"/>
        <v>4</v>
      </c>
      <c r="F187">
        <f t="shared" si="7"/>
        <v>4</v>
      </c>
      <c r="G187">
        <f t="shared" si="8"/>
        <v>0</v>
      </c>
      <c r="V187" s="1">
        <v>44747</v>
      </c>
      <c r="W187">
        <v>14</v>
      </c>
      <c r="X187">
        <v>5.3</v>
      </c>
      <c r="Y187">
        <v>12.8</v>
      </c>
      <c r="Z187">
        <v>93</v>
      </c>
      <c r="AA187">
        <v>54</v>
      </c>
      <c r="AD187">
        <v>14</v>
      </c>
      <c r="AE187">
        <v>93</v>
      </c>
      <c r="AH187">
        <v>5.3</v>
      </c>
      <c r="AI187">
        <v>93</v>
      </c>
      <c r="AL187">
        <v>12.8</v>
      </c>
      <c r="AM187">
        <v>93</v>
      </c>
      <c r="AP187">
        <v>14</v>
      </c>
      <c r="AQ187">
        <v>54</v>
      </c>
      <c r="AT187">
        <v>5.3</v>
      </c>
      <c r="AU187">
        <v>54</v>
      </c>
      <c r="AX187">
        <v>12.8</v>
      </c>
      <c r="AY187">
        <v>54</v>
      </c>
    </row>
    <row r="188" spans="1:51" x14ac:dyDescent="0.3">
      <c r="A188" s="1">
        <v>44748</v>
      </c>
      <c r="B188">
        <v>19.2</v>
      </c>
      <c r="C188">
        <v>11.9</v>
      </c>
      <c r="D188">
        <v>8.1999999999999993</v>
      </c>
      <c r="E188">
        <f t="shared" si="6"/>
        <v>4</v>
      </c>
      <c r="F188">
        <f t="shared" si="7"/>
        <v>4</v>
      </c>
      <c r="G188">
        <f t="shared" si="8"/>
        <v>0</v>
      </c>
      <c r="V188" s="1">
        <v>44748</v>
      </c>
      <c r="W188">
        <v>19.2</v>
      </c>
      <c r="X188">
        <v>11.9</v>
      </c>
      <c r="Y188">
        <v>8.1999999999999993</v>
      </c>
      <c r="Z188">
        <v>318</v>
      </c>
      <c r="AA188">
        <v>192</v>
      </c>
      <c r="AD188">
        <v>19.2</v>
      </c>
      <c r="AE188">
        <v>318</v>
      </c>
      <c r="AH188">
        <v>11.9</v>
      </c>
      <c r="AI188">
        <v>318</v>
      </c>
      <c r="AL188">
        <v>8.1999999999999993</v>
      </c>
      <c r="AM188">
        <v>318</v>
      </c>
      <c r="AP188">
        <v>19.2</v>
      </c>
      <c r="AQ188">
        <v>192</v>
      </c>
      <c r="AT188">
        <v>11.9</v>
      </c>
      <c r="AU188">
        <v>192</v>
      </c>
      <c r="AX188">
        <v>8.1999999999999993</v>
      </c>
      <c r="AY188">
        <v>192</v>
      </c>
    </row>
    <row r="189" spans="1:51" x14ac:dyDescent="0.3">
      <c r="A189" s="1">
        <v>44749</v>
      </c>
      <c r="B189">
        <v>21.1</v>
      </c>
      <c r="C189">
        <v>14.2</v>
      </c>
      <c r="D189">
        <v>0</v>
      </c>
      <c r="E189">
        <f t="shared" si="6"/>
        <v>4</v>
      </c>
      <c r="F189">
        <f t="shared" si="7"/>
        <v>4</v>
      </c>
      <c r="G189">
        <f t="shared" si="8"/>
        <v>0</v>
      </c>
      <c r="V189" s="1">
        <v>44749</v>
      </c>
      <c r="W189">
        <v>21.1</v>
      </c>
      <c r="X189">
        <v>14.2</v>
      </c>
      <c r="Y189">
        <v>0</v>
      </c>
      <c r="Z189">
        <v>542</v>
      </c>
      <c r="AA189">
        <v>446</v>
      </c>
      <c r="AD189">
        <v>21.1</v>
      </c>
      <c r="AE189">
        <v>542</v>
      </c>
      <c r="AH189">
        <v>14.2</v>
      </c>
      <c r="AI189">
        <v>542</v>
      </c>
      <c r="AL189">
        <v>0</v>
      </c>
      <c r="AM189">
        <v>542</v>
      </c>
      <c r="AP189">
        <v>21.1</v>
      </c>
      <c r="AQ189">
        <v>446</v>
      </c>
      <c r="AT189">
        <v>14.2</v>
      </c>
      <c r="AU189">
        <v>446</v>
      </c>
      <c r="AX189">
        <v>0</v>
      </c>
      <c r="AY189">
        <v>446</v>
      </c>
    </row>
    <row r="190" spans="1:51" x14ac:dyDescent="0.3">
      <c r="A190" s="1">
        <v>44750</v>
      </c>
      <c r="B190">
        <v>18.7</v>
      </c>
      <c r="C190">
        <v>14.3</v>
      </c>
      <c r="D190">
        <v>0</v>
      </c>
      <c r="E190">
        <f t="shared" si="6"/>
        <v>4</v>
      </c>
      <c r="F190">
        <f t="shared" si="7"/>
        <v>4</v>
      </c>
      <c r="G190">
        <f t="shared" si="8"/>
        <v>0</v>
      </c>
      <c r="V190" s="1">
        <v>44750</v>
      </c>
      <c r="W190">
        <v>18.7</v>
      </c>
      <c r="X190">
        <v>14.3</v>
      </c>
      <c r="Y190">
        <v>0</v>
      </c>
      <c r="Z190">
        <v>654</v>
      </c>
      <c r="AA190">
        <v>479</v>
      </c>
      <c r="AD190">
        <v>18.7</v>
      </c>
      <c r="AE190">
        <v>654</v>
      </c>
      <c r="AH190">
        <v>14.3</v>
      </c>
      <c r="AI190">
        <v>654</v>
      </c>
      <c r="AL190">
        <v>0</v>
      </c>
      <c r="AM190">
        <v>654</v>
      </c>
      <c r="AP190">
        <v>18.7</v>
      </c>
      <c r="AQ190">
        <v>479</v>
      </c>
      <c r="AT190">
        <v>14.3</v>
      </c>
      <c r="AU190">
        <v>479</v>
      </c>
      <c r="AX190">
        <v>0</v>
      </c>
      <c r="AY190">
        <v>479</v>
      </c>
    </row>
    <row r="191" spans="1:51" x14ac:dyDescent="0.3">
      <c r="A191" s="1">
        <v>44751</v>
      </c>
      <c r="B191">
        <v>19.600000000000001</v>
      </c>
      <c r="C191">
        <v>14.3</v>
      </c>
      <c r="D191">
        <v>0</v>
      </c>
      <c r="E191">
        <f t="shared" si="6"/>
        <v>4</v>
      </c>
      <c r="F191">
        <f t="shared" si="7"/>
        <v>4</v>
      </c>
      <c r="G191">
        <f t="shared" si="8"/>
        <v>0</v>
      </c>
      <c r="V191" s="1">
        <v>44751</v>
      </c>
      <c r="W191">
        <v>19.600000000000001</v>
      </c>
      <c r="X191">
        <v>14.3</v>
      </c>
      <c r="Y191">
        <v>0</v>
      </c>
      <c r="Z191">
        <v>664</v>
      </c>
      <c r="AA191">
        <v>570</v>
      </c>
      <c r="AD191">
        <v>19.600000000000001</v>
      </c>
      <c r="AE191">
        <v>664</v>
      </c>
      <c r="AH191">
        <v>14.3</v>
      </c>
      <c r="AI191">
        <v>664</v>
      </c>
      <c r="AL191">
        <v>0</v>
      </c>
      <c r="AM191">
        <v>664</v>
      </c>
      <c r="AP191">
        <v>19.600000000000001</v>
      </c>
      <c r="AQ191">
        <v>570</v>
      </c>
      <c r="AT191">
        <v>14.3</v>
      </c>
      <c r="AU191">
        <v>570</v>
      </c>
      <c r="AX191">
        <v>0</v>
      </c>
      <c r="AY191">
        <v>570</v>
      </c>
    </row>
    <row r="192" spans="1:51" x14ac:dyDescent="0.3">
      <c r="A192" s="1">
        <v>44752</v>
      </c>
      <c r="B192">
        <v>20</v>
      </c>
      <c r="C192">
        <v>12.9</v>
      </c>
      <c r="D192">
        <v>0</v>
      </c>
      <c r="E192">
        <f t="shared" si="6"/>
        <v>4</v>
      </c>
      <c r="F192">
        <f t="shared" si="7"/>
        <v>4</v>
      </c>
      <c r="G192">
        <f t="shared" si="8"/>
        <v>0</v>
      </c>
      <c r="V192" s="1">
        <v>44752</v>
      </c>
      <c r="W192">
        <v>20</v>
      </c>
      <c r="X192">
        <v>12.9</v>
      </c>
      <c r="Y192">
        <v>0</v>
      </c>
      <c r="Z192">
        <v>708</v>
      </c>
      <c r="AA192">
        <v>591</v>
      </c>
      <c r="AD192">
        <v>20</v>
      </c>
      <c r="AE192">
        <v>708</v>
      </c>
      <c r="AH192">
        <v>12.9</v>
      </c>
      <c r="AI192">
        <v>708</v>
      </c>
      <c r="AL192">
        <v>0</v>
      </c>
      <c r="AM192">
        <v>708</v>
      </c>
      <c r="AP192">
        <v>20</v>
      </c>
      <c r="AQ192">
        <v>591</v>
      </c>
      <c r="AT192">
        <v>12.9</v>
      </c>
      <c r="AU192">
        <v>591</v>
      </c>
      <c r="AX192">
        <v>0</v>
      </c>
      <c r="AY192">
        <v>591</v>
      </c>
    </row>
    <row r="193" spans="1:51" x14ac:dyDescent="0.3">
      <c r="A193" s="1">
        <v>44753</v>
      </c>
      <c r="B193">
        <v>20.100000000000001</v>
      </c>
      <c r="C193">
        <v>12.2</v>
      </c>
      <c r="D193">
        <v>0</v>
      </c>
      <c r="E193">
        <f t="shared" si="6"/>
        <v>4</v>
      </c>
      <c r="F193">
        <f t="shared" si="7"/>
        <v>4</v>
      </c>
      <c r="G193">
        <f t="shared" si="8"/>
        <v>0</v>
      </c>
      <c r="V193" s="1">
        <v>44753</v>
      </c>
      <c r="W193">
        <v>20.100000000000001</v>
      </c>
      <c r="X193">
        <v>12.2</v>
      </c>
      <c r="Y193">
        <v>0</v>
      </c>
      <c r="Z193">
        <v>445</v>
      </c>
      <c r="AA193">
        <v>355</v>
      </c>
      <c r="AD193">
        <v>20.100000000000001</v>
      </c>
      <c r="AE193">
        <v>445</v>
      </c>
      <c r="AH193">
        <v>12.2</v>
      </c>
      <c r="AI193">
        <v>445</v>
      </c>
      <c r="AL193">
        <v>0</v>
      </c>
      <c r="AM193">
        <v>445</v>
      </c>
      <c r="AP193">
        <v>20.100000000000001</v>
      </c>
      <c r="AQ193">
        <v>355</v>
      </c>
      <c r="AT193">
        <v>12.2</v>
      </c>
      <c r="AU193">
        <v>355</v>
      </c>
      <c r="AX193">
        <v>0</v>
      </c>
      <c r="AY193">
        <v>355</v>
      </c>
    </row>
    <row r="194" spans="1:51" x14ac:dyDescent="0.3">
      <c r="A194" s="1">
        <v>44754</v>
      </c>
      <c r="B194">
        <v>19.100000000000001</v>
      </c>
      <c r="C194">
        <v>11.1</v>
      </c>
      <c r="D194">
        <v>0</v>
      </c>
      <c r="E194">
        <f t="shared" si="6"/>
        <v>4</v>
      </c>
      <c r="F194">
        <f t="shared" si="7"/>
        <v>4</v>
      </c>
      <c r="G194">
        <f t="shared" si="8"/>
        <v>0</v>
      </c>
      <c r="V194" s="1">
        <v>44754</v>
      </c>
      <c r="W194">
        <v>19.100000000000001</v>
      </c>
      <c r="X194">
        <v>11.1</v>
      </c>
      <c r="Y194">
        <v>0</v>
      </c>
      <c r="Z194">
        <v>509</v>
      </c>
      <c r="AA194">
        <v>398</v>
      </c>
      <c r="AD194">
        <v>19.100000000000001</v>
      </c>
      <c r="AE194">
        <v>509</v>
      </c>
      <c r="AH194">
        <v>11.1</v>
      </c>
      <c r="AI194">
        <v>509</v>
      </c>
      <c r="AL194">
        <v>0</v>
      </c>
      <c r="AM194">
        <v>509</v>
      </c>
      <c r="AP194">
        <v>19.100000000000001</v>
      </c>
      <c r="AQ194">
        <v>398</v>
      </c>
      <c r="AT194">
        <v>11.1</v>
      </c>
      <c r="AU194">
        <v>398</v>
      </c>
      <c r="AX194">
        <v>0</v>
      </c>
      <c r="AY194">
        <v>398</v>
      </c>
    </row>
    <row r="195" spans="1:51" x14ac:dyDescent="0.3">
      <c r="A195" s="1">
        <v>44755</v>
      </c>
      <c r="B195">
        <v>18.8</v>
      </c>
      <c r="C195">
        <v>14.2</v>
      </c>
      <c r="D195">
        <v>3.2</v>
      </c>
      <c r="E195">
        <f t="shared" ref="E195:E258" si="9">COUNT(A195:D195)</f>
        <v>4</v>
      </c>
      <c r="F195">
        <f t="shared" ref="F195:F258" si="10">COUNTA(A195:D195)</f>
        <v>4</v>
      </c>
      <c r="G195">
        <f t="shared" ref="G195:G258" si="11">COUNTBLANK(A195:D195)</f>
        <v>0</v>
      </c>
      <c r="V195" s="1">
        <v>44755</v>
      </c>
      <c r="W195">
        <v>18.8</v>
      </c>
      <c r="X195">
        <v>14.2</v>
      </c>
      <c r="Y195">
        <v>3.2</v>
      </c>
      <c r="Z195">
        <v>510</v>
      </c>
      <c r="AA195">
        <v>425</v>
      </c>
      <c r="AD195">
        <v>18.8</v>
      </c>
      <c r="AE195">
        <v>510</v>
      </c>
      <c r="AH195">
        <v>14.2</v>
      </c>
      <c r="AI195">
        <v>510</v>
      </c>
      <c r="AL195">
        <v>3.2</v>
      </c>
      <c r="AM195">
        <v>510</v>
      </c>
      <c r="AP195">
        <v>18.8</v>
      </c>
      <c r="AQ195">
        <v>425</v>
      </c>
      <c r="AT195">
        <v>14.2</v>
      </c>
      <c r="AU195">
        <v>425</v>
      </c>
      <c r="AX195">
        <v>3.2</v>
      </c>
      <c r="AY195">
        <v>425</v>
      </c>
    </row>
    <row r="196" spans="1:51" x14ac:dyDescent="0.3">
      <c r="A196" s="1">
        <v>44756</v>
      </c>
      <c r="B196">
        <v>20</v>
      </c>
      <c r="C196">
        <v>14.6</v>
      </c>
      <c r="D196">
        <v>0</v>
      </c>
      <c r="E196">
        <f t="shared" si="9"/>
        <v>4</v>
      </c>
      <c r="F196">
        <f t="shared" si="10"/>
        <v>4</v>
      </c>
      <c r="G196">
        <f t="shared" si="11"/>
        <v>0</v>
      </c>
      <c r="V196" s="1">
        <v>44756</v>
      </c>
      <c r="W196">
        <v>20</v>
      </c>
      <c r="X196">
        <v>14.6</v>
      </c>
      <c r="Y196">
        <v>0</v>
      </c>
      <c r="Z196">
        <v>571</v>
      </c>
      <c r="AA196">
        <v>426</v>
      </c>
      <c r="AD196">
        <v>20</v>
      </c>
      <c r="AE196">
        <v>571</v>
      </c>
      <c r="AH196">
        <v>14.6</v>
      </c>
      <c r="AI196">
        <v>571</v>
      </c>
      <c r="AL196">
        <v>0</v>
      </c>
      <c r="AM196">
        <v>571</v>
      </c>
      <c r="AP196">
        <v>20</v>
      </c>
      <c r="AQ196">
        <v>426</v>
      </c>
      <c r="AT196">
        <v>14.6</v>
      </c>
      <c r="AU196">
        <v>426</v>
      </c>
      <c r="AX196">
        <v>0</v>
      </c>
      <c r="AY196">
        <v>426</v>
      </c>
    </row>
    <row r="197" spans="1:51" x14ac:dyDescent="0.3">
      <c r="A197" s="1">
        <v>44757</v>
      </c>
      <c r="B197">
        <v>21.6</v>
      </c>
      <c r="C197">
        <v>14.5</v>
      </c>
      <c r="D197">
        <v>0</v>
      </c>
      <c r="E197">
        <f t="shared" si="9"/>
        <v>4</v>
      </c>
      <c r="F197">
        <f t="shared" si="10"/>
        <v>4</v>
      </c>
      <c r="G197">
        <f t="shared" si="11"/>
        <v>0</v>
      </c>
      <c r="V197" s="1">
        <v>44757</v>
      </c>
      <c r="W197">
        <v>21.6</v>
      </c>
      <c r="X197">
        <v>14.5</v>
      </c>
      <c r="Y197">
        <v>0</v>
      </c>
      <c r="Z197">
        <v>651</v>
      </c>
      <c r="AA197">
        <v>501</v>
      </c>
      <c r="AD197">
        <v>21.6</v>
      </c>
      <c r="AE197">
        <v>651</v>
      </c>
      <c r="AH197">
        <v>14.5</v>
      </c>
      <c r="AI197">
        <v>651</v>
      </c>
      <c r="AL197">
        <v>0</v>
      </c>
      <c r="AM197">
        <v>651</v>
      </c>
      <c r="AP197">
        <v>21.6</v>
      </c>
      <c r="AQ197">
        <v>501</v>
      </c>
      <c r="AT197">
        <v>14.5</v>
      </c>
      <c r="AU197">
        <v>501</v>
      </c>
      <c r="AX197">
        <v>0</v>
      </c>
      <c r="AY197">
        <v>501</v>
      </c>
    </row>
    <row r="198" spans="1:51" x14ac:dyDescent="0.3">
      <c r="A198" s="1">
        <v>44758</v>
      </c>
      <c r="B198">
        <v>21.6</v>
      </c>
      <c r="C198">
        <v>14.7</v>
      </c>
      <c r="D198">
        <v>0</v>
      </c>
      <c r="E198">
        <f t="shared" si="9"/>
        <v>4</v>
      </c>
      <c r="F198">
        <f t="shared" si="10"/>
        <v>4</v>
      </c>
      <c r="G198">
        <f t="shared" si="11"/>
        <v>0</v>
      </c>
      <c r="V198" s="1">
        <v>44758</v>
      </c>
      <c r="W198">
        <v>21.6</v>
      </c>
      <c r="X198">
        <v>14.7</v>
      </c>
      <c r="Y198">
        <v>0</v>
      </c>
      <c r="Z198">
        <v>691</v>
      </c>
      <c r="AA198">
        <v>561</v>
      </c>
      <c r="AD198">
        <v>21.6</v>
      </c>
      <c r="AE198">
        <v>691</v>
      </c>
      <c r="AH198">
        <v>14.7</v>
      </c>
      <c r="AI198">
        <v>691</v>
      </c>
      <c r="AL198">
        <v>0</v>
      </c>
      <c r="AM198">
        <v>691</v>
      </c>
      <c r="AP198">
        <v>21.6</v>
      </c>
      <c r="AQ198">
        <v>561</v>
      </c>
      <c r="AT198">
        <v>14.7</v>
      </c>
      <c r="AU198">
        <v>561</v>
      </c>
      <c r="AX198">
        <v>0</v>
      </c>
      <c r="AY198">
        <v>561</v>
      </c>
    </row>
    <row r="199" spans="1:51" x14ac:dyDescent="0.3">
      <c r="A199" s="1">
        <v>44759</v>
      </c>
      <c r="B199">
        <v>23.1</v>
      </c>
      <c r="C199">
        <v>13.7</v>
      </c>
      <c r="D199">
        <v>0</v>
      </c>
      <c r="E199">
        <f t="shared" si="9"/>
        <v>4</v>
      </c>
      <c r="F199">
        <f t="shared" si="10"/>
        <v>4</v>
      </c>
      <c r="G199">
        <f t="shared" si="11"/>
        <v>0</v>
      </c>
      <c r="V199" s="1">
        <v>44759</v>
      </c>
      <c r="W199">
        <v>23.1</v>
      </c>
      <c r="X199">
        <v>13.7</v>
      </c>
      <c r="Y199">
        <v>0</v>
      </c>
      <c r="Z199">
        <v>727</v>
      </c>
      <c r="AA199">
        <v>640</v>
      </c>
      <c r="AD199">
        <v>23.1</v>
      </c>
      <c r="AE199">
        <v>727</v>
      </c>
      <c r="AH199">
        <v>13.7</v>
      </c>
      <c r="AI199">
        <v>727</v>
      </c>
      <c r="AL199">
        <v>0</v>
      </c>
      <c r="AM199">
        <v>727</v>
      </c>
      <c r="AP199">
        <v>23.1</v>
      </c>
      <c r="AQ199">
        <v>640</v>
      </c>
      <c r="AT199">
        <v>13.7</v>
      </c>
      <c r="AU199">
        <v>640</v>
      </c>
      <c r="AX199">
        <v>0</v>
      </c>
      <c r="AY199">
        <v>640</v>
      </c>
    </row>
    <row r="200" spans="1:51" x14ac:dyDescent="0.3">
      <c r="A200" s="1">
        <v>44760</v>
      </c>
      <c r="B200">
        <v>24.3</v>
      </c>
      <c r="C200">
        <v>14.7</v>
      </c>
      <c r="D200">
        <v>0</v>
      </c>
      <c r="E200">
        <f t="shared" si="9"/>
        <v>4</v>
      </c>
      <c r="F200">
        <f t="shared" si="10"/>
        <v>4</v>
      </c>
      <c r="G200">
        <f t="shared" si="11"/>
        <v>0</v>
      </c>
      <c r="V200" s="1">
        <v>44760</v>
      </c>
      <c r="W200">
        <v>24.3</v>
      </c>
      <c r="X200">
        <v>14.7</v>
      </c>
      <c r="Y200">
        <v>0</v>
      </c>
      <c r="Z200">
        <v>525</v>
      </c>
      <c r="AA200">
        <v>393</v>
      </c>
      <c r="AD200">
        <v>24.3</v>
      </c>
      <c r="AE200">
        <v>525</v>
      </c>
      <c r="AH200">
        <v>14.7</v>
      </c>
      <c r="AI200">
        <v>525</v>
      </c>
      <c r="AL200">
        <v>0</v>
      </c>
      <c r="AM200">
        <v>525</v>
      </c>
      <c r="AP200">
        <v>24.3</v>
      </c>
      <c r="AQ200">
        <v>393</v>
      </c>
      <c r="AT200">
        <v>14.7</v>
      </c>
      <c r="AU200">
        <v>393</v>
      </c>
      <c r="AX200">
        <v>0</v>
      </c>
      <c r="AY200">
        <v>393</v>
      </c>
    </row>
    <row r="201" spans="1:51" x14ac:dyDescent="0.3">
      <c r="A201" s="1">
        <v>44761</v>
      </c>
      <c r="B201">
        <v>21.5</v>
      </c>
      <c r="C201">
        <v>13.4</v>
      </c>
      <c r="D201">
        <v>0</v>
      </c>
      <c r="E201">
        <f t="shared" si="9"/>
        <v>4</v>
      </c>
      <c r="F201">
        <f t="shared" si="10"/>
        <v>4</v>
      </c>
      <c r="G201">
        <f t="shared" si="11"/>
        <v>0</v>
      </c>
      <c r="V201" s="1">
        <v>44761</v>
      </c>
      <c r="W201">
        <v>21.5</v>
      </c>
      <c r="X201">
        <v>13.4</v>
      </c>
      <c r="Y201">
        <v>0</v>
      </c>
      <c r="Z201">
        <v>612</v>
      </c>
      <c r="AA201">
        <v>451</v>
      </c>
      <c r="AD201">
        <v>21.5</v>
      </c>
      <c r="AE201">
        <v>612</v>
      </c>
      <c r="AH201">
        <v>13.4</v>
      </c>
      <c r="AI201">
        <v>612</v>
      </c>
      <c r="AL201">
        <v>0</v>
      </c>
      <c r="AM201">
        <v>612</v>
      </c>
      <c r="AP201">
        <v>21.5</v>
      </c>
      <c r="AQ201">
        <v>451</v>
      </c>
      <c r="AT201">
        <v>13.4</v>
      </c>
      <c r="AU201">
        <v>451</v>
      </c>
      <c r="AX201">
        <v>0</v>
      </c>
      <c r="AY201">
        <v>451</v>
      </c>
    </row>
    <row r="202" spans="1:51" x14ac:dyDescent="0.3">
      <c r="A202" s="1">
        <v>44762</v>
      </c>
      <c r="B202">
        <v>19.2</v>
      </c>
      <c r="C202">
        <v>8.5</v>
      </c>
      <c r="D202">
        <v>0</v>
      </c>
      <c r="E202">
        <f t="shared" si="9"/>
        <v>4</v>
      </c>
      <c r="F202">
        <f t="shared" si="10"/>
        <v>4</v>
      </c>
      <c r="G202">
        <f t="shared" si="11"/>
        <v>0</v>
      </c>
      <c r="V202" s="1">
        <v>44762</v>
      </c>
      <c r="W202">
        <v>19.2</v>
      </c>
      <c r="X202">
        <v>8.5</v>
      </c>
      <c r="Y202">
        <v>0</v>
      </c>
      <c r="Z202">
        <v>550</v>
      </c>
      <c r="AA202">
        <v>418</v>
      </c>
      <c r="AD202">
        <v>19.2</v>
      </c>
      <c r="AE202">
        <v>550</v>
      </c>
      <c r="AH202">
        <v>8.5</v>
      </c>
      <c r="AI202">
        <v>550</v>
      </c>
      <c r="AL202">
        <v>0</v>
      </c>
      <c r="AM202">
        <v>550</v>
      </c>
      <c r="AP202">
        <v>19.2</v>
      </c>
      <c r="AQ202">
        <v>418</v>
      </c>
      <c r="AT202">
        <v>8.5</v>
      </c>
      <c r="AU202">
        <v>418</v>
      </c>
      <c r="AX202">
        <v>0</v>
      </c>
      <c r="AY202">
        <v>418</v>
      </c>
    </row>
    <row r="203" spans="1:51" x14ac:dyDescent="0.3">
      <c r="A203" s="1">
        <v>44763</v>
      </c>
      <c r="B203">
        <v>18.100000000000001</v>
      </c>
      <c r="C203">
        <v>7</v>
      </c>
      <c r="D203">
        <v>1.8</v>
      </c>
      <c r="E203">
        <f t="shared" si="9"/>
        <v>4</v>
      </c>
      <c r="F203">
        <f t="shared" si="10"/>
        <v>4</v>
      </c>
      <c r="G203">
        <f t="shared" si="11"/>
        <v>0</v>
      </c>
      <c r="V203" s="1">
        <v>44763</v>
      </c>
      <c r="W203">
        <v>18.100000000000001</v>
      </c>
      <c r="X203">
        <v>7</v>
      </c>
      <c r="Y203">
        <v>1.8</v>
      </c>
      <c r="Z203">
        <v>316</v>
      </c>
      <c r="AA203">
        <v>174</v>
      </c>
      <c r="AD203">
        <v>18.100000000000001</v>
      </c>
      <c r="AE203">
        <v>316</v>
      </c>
      <c r="AH203">
        <v>7</v>
      </c>
      <c r="AI203">
        <v>316</v>
      </c>
      <c r="AL203">
        <v>1.8</v>
      </c>
      <c r="AM203">
        <v>316</v>
      </c>
      <c r="AP203">
        <v>18.100000000000001</v>
      </c>
      <c r="AQ203">
        <v>174</v>
      </c>
      <c r="AT203">
        <v>7</v>
      </c>
      <c r="AU203">
        <v>174</v>
      </c>
      <c r="AX203">
        <v>1.8</v>
      </c>
      <c r="AY203">
        <v>174</v>
      </c>
    </row>
    <row r="204" spans="1:51" x14ac:dyDescent="0.3">
      <c r="A204" s="1">
        <v>44764</v>
      </c>
      <c r="B204">
        <v>18.600000000000001</v>
      </c>
      <c r="C204">
        <v>7</v>
      </c>
      <c r="D204">
        <v>15.4</v>
      </c>
      <c r="E204">
        <f t="shared" si="9"/>
        <v>4</v>
      </c>
      <c r="F204">
        <f t="shared" si="10"/>
        <v>4</v>
      </c>
      <c r="G204">
        <f t="shared" si="11"/>
        <v>0</v>
      </c>
      <c r="V204" s="1">
        <v>44764</v>
      </c>
      <c r="W204">
        <v>18.600000000000001</v>
      </c>
      <c r="X204">
        <v>7</v>
      </c>
      <c r="Y204">
        <v>15.4</v>
      </c>
      <c r="Z204">
        <v>137</v>
      </c>
      <c r="AA204">
        <v>88</v>
      </c>
      <c r="AD204">
        <v>18.600000000000001</v>
      </c>
      <c r="AE204">
        <v>137</v>
      </c>
      <c r="AH204">
        <v>7</v>
      </c>
      <c r="AI204">
        <v>137</v>
      </c>
      <c r="AL204">
        <v>15.4</v>
      </c>
      <c r="AM204">
        <v>137</v>
      </c>
      <c r="AP204">
        <v>18.600000000000001</v>
      </c>
      <c r="AQ204">
        <v>88</v>
      </c>
      <c r="AT204">
        <v>7</v>
      </c>
      <c r="AU204">
        <v>88</v>
      </c>
      <c r="AX204">
        <v>15.4</v>
      </c>
      <c r="AY204">
        <v>88</v>
      </c>
    </row>
    <row r="205" spans="1:51" x14ac:dyDescent="0.3">
      <c r="A205" s="1">
        <v>44765</v>
      </c>
      <c r="B205">
        <v>21.6</v>
      </c>
      <c r="C205">
        <v>11.6</v>
      </c>
      <c r="D205">
        <v>4.4000000000000004</v>
      </c>
      <c r="E205">
        <f t="shared" si="9"/>
        <v>4</v>
      </c>
      <c r="F205">
        <f t="shared" si="10"/>
        <v>4</v>
      </c>
      <c r="G205">
        <f t="shared" si="11"/>
        <v>0</v>
      </c>
      <c r="V205" s="1">
        <v>44765</v>
      </c>
      <c r="W205">
        <v>21.6</v>
      </c>
      <c r="X205">
        <v>11.6</v>
      </c>
      <c r="Y205">
        <v>4.4000000000000004</v>
      </c>
      <c r="Z205">
        <v>755</v>
      </c>
      <c r="AA205">
        <v>594</v>
      </c>
      <c r="AD205">
        <v>21.6</v>
      </c>
      <c r="AE205">
        <v>755</v>
      </c>
      <c r="AH205">
        <v>11.6</v>
      </c>
      <c r="AI205">
        <v>755</v>
      </c>
      <c r="AL205">
        <v>4.4000000000000004</v>
      </c>
      <c r="AM205">
        <v>755</v>
      </c>
      <c r="AP205">
        <v>21.6</v>
      </c>
      <c r="AQ205">
        <v>594</v>
      </c>
      <c r="AT205">
        <v>11.6</v>
      </c>
      <c r="AU205">
        <v>594</v>
      </c>
      <c r="AX205">
        <v>4.4000000000000004</v>
      </c>
      <c r="AY205">
        <v>594</v>
      </c>
    </row>
    <row r="206" spans="1:51" x14ac:dyDescent="0.3">
      <c r="A206" s="1">
        <v>44766</v>
      </c>
      <c r="B206">
        <v>23</v>
      </c>
      <c r="C206">
        <v>14.7</v>
      </c>
      <c r="D206">
        <v>0</v>
      </c>
      <c r="E206">
        <f t="shared" si="9"/>
        <v>4</v>
      </c>
      <c r="F206">
        <f t="shared" si="10"/>
        <v>4</v>
      </c>
      <c r="G206">
        <f t="shared" si="11"/>
        <v>0</v>
      </c>
      <c r="V206" s="1">
        <v>44766</v>
      </c>
      <c r="W206">
        <v>23</v>
      </c>
      <c r="X206">
        <v>14.7</v>
      </c>
      <c r="Y206">
        <v>0</v>
      </c>
      <c r="Z206">
        <v>938</v>
      </c>
      <c r="AA206">
        <v>846</v>
      </c>
      <c r="AD206">
        <v>23</v>
      </c>
      <c r="AE206">
        <v>938</v>
      </c>
      <c r="AH206">
        <v>14.7</v>
      </c>
      <c r="AI206">
        <v>938</v>
      </c>
      <c r="AL206">
        <v>0</v>
      </c>
      <c r="AM206">
        <v>938</v>
      </c>
      <c r="AP206">
        <v>23</v>
      </c>
      <c r="AQ206">
        <v>846</v>
      </c>
      <c r="AT206">
        <v>14.7</v>
      </c>
      <c r="AU206">
        <v>846</v>
      </c>
      <c r="AX206">
        <v>0</v>
      </c>
      <c r="AY206">
        <v>846</v>
      </c>
    </row>
    <row r="207" spans="1:51" x14ac:dyDescent="0.3">
      <c r="A207" s="1">
        <v>44767</v>
      </c>
      <c r="B207">
        <v>22.3</v>
      </c>
      <c r="C207">
        <v>15</v>
      </c>
      <c r="D207">
        <v>0</v>
      </c>
      <c r="E207">
        <f t="shared" si="9"/>
        <v>4</v>
      </c>
      <c r="F207">
        <f t="shared" si="10"/>
        <v>4</v>
      </c>
      <c r="G207">
        <f t="shared" si="11"/>
        <v>0</v>
      </c>
      <c r="V207" s="1">
        <v>44767</v>
      </c>
      <c r="W207">
        <v>22.3</v>
      </c>
      <c r="X207">
        <v>15</v>
      </c>
      <c r="Y207">
        <v>0</v>
      </c>
      <c r="Z207">
        <v>543</v>
      </c>
      <c r="AA207">
        <v>408</v>
      </c>
      <c r="AD207">
        <v>22.3</v>
      </c>
      <c r="AE207">
        <v>543</v>
      </c>
      <c r="AH207">
        <v>15</v>
      </c>
      <c r="AI207">
        <v>543</v>
      </c>
      <c r="AL207">
        <v>0</v>
      </c>
      <c r="AM207">
        <v>543</v>
      </c>
      <c r="AP207">
        <v>22.3</v>
      </c>
      <c r="AQ207">
        <v>408</v>
      </c>
      <c r="AT207">
        <v>15</v>
      </c>
      <c r="AU207">
        <v>408</v>
      </c>
      <c r="AX207">
        <v>0</v>
      </c>
      <c r="AY207">
        <v>408</v>
      </c>
    </row>
    <row r="208" spans="1:51" x14ac:dyDescent="0.3">
      <c r="A208" s="1">
        <v>44768</v>
      </c>
      <c r="B208">
        <v>23.5</v>
      </c>
      <c r="C208">
        <v>15.2</v>
      </c>
      <c r="D208">
        <v>0</v>
      </c>
      <c r="E208">
        <f t="shared" si="9"/>
        <v>4</v>
      </c>
      <c r="F208">
        <f t="shared" si="10"/>
        <v>4</v>
      </c>
      <c r="G208">
        <f t="shared" si="11"/>
        <v>0</v>
      </c>
      <c r="V208" s="1">
        <v>44768</v>
      </c>
      <c r="W208">
        <v>23.5</v>
      </c>
      <c r="X208">
        <v>15.2</v>
      </c>
      <c r="Y208">
        <v>0</v>
      </c>
      <c r="Z208">
        <v>605</v>
      </c>
      <c r="AA208">
        <v>506</v>
      </c>
      <c r="AD208">
        <v>23.5</v>
      </c>
      <c r="AE208">
        <v>605</v>
      </c>
      <c r="AH208">
        <v>15.2</v>
      </c>
      <c r="AI208">
        <v>605</v>
      </c>
      <c r="AL208">
        <v>0</v>
      </c>
      <c r="AM208">
        <v>605</v>
      </c>
      <c r="AP208">
        <v>23.5</v>
      </c>
      <c r="AQ208">
        <v>506</v>
      </c>
      <c r="AT208">
        <v>15.2</v>
      </c>
      <c r="AU208">
        <v>506</v>
      </c>
      <c r="AX208">
        <v>0</v>
      </c>
      <c r="AY208">
        <v>506</v>
      </c>
    </row>
    <row r="209" spans="1:51" x14ac:dyDescent="0.3">
      <c r="A209" s="1">
        <v>44769</v>
      </c>
      <c r="B209">
        <v>19.600000000000001</v>
      </c>
      <c r="C209">
        <v>15.6</v>
      </c>
      <c r="D209">
        <v>0</v>
      </c>
      <c r="E209">
        <f t="shared" si="9"/>
        <v>4</v>
      </c>
      <c r="F209">
        <f t="shared" si="10"/>
        <v>4</v>
      </c>
      <c r="G209">
        <f t="shared" si="11"/>
        <v>0</v>
      </c>
      <c r="V209" s="1">
        <v>44769</v>
      </c>
      <c r="W209">
        <v>19.600000000000001</v>
      </c>
      <c r="X209">
        <v>15.6</v>
      </c>
      <c r="Y209">
        <v>0</v>
      </c>
      <c r="Z209">
        <v>642</v>
      </c>
      <c r="AA209">
        <v>540</v>
      </c>
      <c r="AD209">
        <v>19.600000000000001</v>
      </c>
      <c r="AE209">
        <v>642</v>
      </c>
      <c r="AH209">
        <v>15.6</v>
      </c>
      <c r="AI209">
        <v>642</v>
      </c>
      <c r="AL209">
        <v>0</v>
      </c>
      <c r="AM209">
        <v>642</v>
      </c>
      <c r="AP209">
        <v>19.600000000000001</v>
      </c>
      <c r="AQ209">
        <v>540</v>
      </c>
      <c r="AT209">
        <v>15.6</v>
      </c>
      <c r="AU209">
        <v>540</v>
      </c>
      <c r="AX209">
        <v>0</v>
      </c>
      <c r="AY209">
        <v>540</v>
      </c>
    </row>
    <row r="210" spans="1:51" x14ac:dyDescent="0.3">
      <c r="A210" s="1">
        <v>44770</v>
      </c>
      <c r="B210">
        <v>21.5</v>
      </c>
      <c r="C210">
        <v>15.7</v>
      </c>
      <c r="D210">
        <v>0</v>
      </c>
      <c r="E210">
        <f t="shared" si="9"/>
        <v>4</v>
      </c>
      <c r="F210">
        <f t="shared" si="10"/>
        <v>4</v>
      </c>
      <c r="G210">
        <f t="shared" si="11"/>
        <v>0</v>
      </c>
      <c r="V210" s="1">
        <v>44770</v>
      </c>
      <c r="W210">
        <v>21.5</v>
      </c>
      <c r="X210">
        <v>15.7</v>
      </c>
      <c r="Y210">
        <v>0</v>
      </c>
      <c r="Z210">
        <v>636</v>
      </c>
      <c r="AA210">
        <v>537</v>
      </c>
      <c r="AD210">
        <v>21.5</v>
      </c>
      <c r="AE210">
        <v>636</v>
      </c>
      <c r="AH210">
        <v>15.7</v>
      </c>
      <c r="AI210">
        <v>636</v>
      </c>
      <c r="AL210">
        <v>0</v>
      </c>
      <c r="AM210">
        <v>636</v>
      </c>
      <c r="AP210">
        <v>21.5</v>
      </c>
      <c r="AQ210">
        <v>537</v>
      </c>
      <c r="AT210">
        <v>15.7</v>
      </c>
      <c r="AU210">
        <v>537</v>
      </c>
      <c r="AX210">
        <v>0</v>
      </c>
      <c r="AY210">
        <v>537</v>
      </c>
    </row>
    <row r="211" spans="1:51" x14ac:dyDescent="0.3">
      <c r="A211" s="1">
        <v>44771</v>
      </c>
      <c r="B211">
        <v>21.8</v>
      </c>
      <c r="C211">
        <v>15.7</v>
      </c>
      <c r="D211">
        <v>0</v>
      </c>
      <c r="E211">
        <f t="shared" si="9"/>
        <v>4</v>
      </c>
      <c r="F211">
        <f t="shared" si="10"/>
        <v>4</v>
      </c>
      <c r="G211">
        <f t="shared" si="11"/>
        <v>0</v>
      </c>
      <c r="V211" s="1">
        <v>44771</v>
      </c>
      <c r="W211">
        <v>21.8</v>
      </c>
      <c r="X211">
        <v>15.7</v>
      </c>
      <c r="Y211">
        <v>0</v>
      </c>
      <c r="Z211">
        <v>622</v>
      </c>
      <c r="AA211">
        <v>551</v>
      </c>
      <c r="AD211">
        <v>21.8</v>
      </c>
      <c r="AE211">
        <v>622</v>
      </c>
      <c r="AH211">
        <v>15.7</v>
      </c>
      <c r="AI211">
        <v>622</v>
      </c>
      <c r="AL211">
        <v>0</v>
      </c>
      <c r="AM211">
        <v>622</v>
      </c>
      <c r="AP211">
        <v>21.8</v>
      </c>
      <c r="AQ211">
        <v>551</v>
      </c>
      <c r="AT211">
        <v>15.7</v>
      </c>
      <c r="AU211">
        <v>551</v>
      </c>
      <c r="AX211">
        <v>0</v>
      </c>
      <c r="AY211">
        <v>551</v>
      </c>
    </row>
    <row r="212" spans="1:51" x14ac:dyDescent="0.3">
      <c r="A212" s="1">
        <v>44772</v>
      </c>
      <c r="B212">
        <v>20.6</v>
      </c>
      <c r="C212">
        <v>15.2</v>
      </c>
      <c r="D212">
        <v>0</v>
      </c>
      <c r="E212">
        <f t="shared" si="9"/>
        <v>4</v>
      </c>
      <c r="F212">
        <f t="shared" si="10"/>
        <v>4</v>
      </c>
      <c r="G212">
        <f t="shared" si="11"/>
        <v>0</v>
      </c>
      <c r="V212" s="1">
        <v>44772</v>
      </c>
      <c r="W212">
        <v>20.6</v>
      </c>
      <c r="X212">
        <v>15.2</v>
      </c>
      <c r="Y212">
        <v>0</v>
      </c>
      <c r="Z212">
        <v>677</v>
      </c>
      <c r="AA212">
        <v>591</v>
      </c>
      <c r="AD212">
        <v>20.6</v>
      </c>
      <c r="AE212">
        <v>677</v>
      </c>
      <c r="AH212">
        <v>15.2</v>
      </c>
      <c r="AI212">
        <v>677</v>
      </c>
      <c r="AL212">
        <v>0</v>
      </c>
      <c r="AM212">
        <v>677</v>
      </c>
      <c r="AP212">
        <v>20.6</v>
      </c>
      <c r="AQ212">
        <v>591</v>
      </c>
      <c r="AT212">
        <v>15.2</v>
      </c>
      <c r="AU212">
        <v>591</v>
      </c>
      <c r="AX212">
        <v>0</v>
      </c>
      <c r="AY212">
        <v>591</v>
      </c>
    </row>
    <row r="213" spans="1:51" x14ac:dyDescent="0.3">
      <c r="A213" s="1">
        <v>44773</v>
      </c>
      <c r="B213">
        <v>20.100000000000001</v>
      </c>
      <c r="C213">
        <v>12.3</v>
      </c>
      <c r="D213">
        <v>0</v>
      </c>
      <c r="E213">
        <f t="shared" si="9"/>
        <v>4</v>
      </c>
      <c r="F213">
        <f t="shared" si="10"/>
        <v>4</v>
      </c>
      <c r="G213">
        <f t="shared" si="11"/>
        <v>0</v>
      </c>
      <c r="V213" s="1">
        <v>44773</v>
      </c>
      <c r="W213">
        <v>20.100000000000001</v>
      </c>
      <c r="X213">
        <v>12.3</v>
      </c>
      <c r="Y213">
        <v>0</v>
      </c>
      <c r="Z213">
        <v>593</v>
      </c>
      <c r="AA213">
        <v>627</v>
      </c>
      <c r="AD213">
        <v>20.100000000000001</v>
      </c>
      <c r="AE213">
        <v>593</v>
      </c>
      <c r="AH213">
        <v>12.3</v>
      </c>
      <c r="AI213">
        <v>593</v>
      </c>
      <c r="AL213">
        <v>0</v>
      </c>
      <c r="AM213">
        <v>593</v>
      </c>
      <c r="AP213">
        <v>20.100000000000001</v>
      </c>
      <c r="AQ213">
        <v>627</v>
      </c>
      <c r="AT213">
        <v>12.3</v>
      </c>
      <c r="AU213">
        <v>627</v>
      </c>
      <c r="AX213">
        <v>0</v>
      </c>
      <c r="AY213">
        <v>627</v>
      </c>
    </row>
    <row r="214" spans="1:51" x14ac:dyDescent="0.3">
      <c r="A214" s="1">
        <v>44774</v>
      </c>
      <c r="B214">
        <v>20.3</v>
      </c>
      <c r="C214">
        <v>11.1</v>
      </c>
      <c r="D214">
        <v>0.6</v>
      </c>
      <c r="E214">
        <f t="shared" si="9"/>
        <v>4</v>
      </c>
      <c r="F214">
        <f t="shared" si="10"/>
        <v>4</v>
      </c>
      <c r="G214">
        <f t="shared" si="11"/>
        <v>0</v>
      </c>
      <c r="V214" s="1">
        <v>44774</v>
      </c>
      <c r="W214">
        <v>20.3</v>
      </c>
      <c r="X214">
        <v>11.1</v>
      </c>
      <c r="Y214">
        <v>0.6</v>
      </c>
      <c r="Z214">
        <v>448</v>
      </c>
      <c r="AA214">
        <v>251</v>
      </c>
      <c r="AD214">
        <v>20.3</v>
      </c>
      <c r="AE214">
        <v>448</v>
      </c>
      <c r="AH214">
        <v>11.1</v>
      </c>
      <c r="AI214">
        <v>448</v>
      </c>
      <c r="AL214">
        <v>0.6</v>
      </c>
      <c r="AM214">
        <v>448</v>
      </c>
      <c r="AP214">
        <v>20.3</v>
      </c>
      <c r="AQ214">
        <v>251</v>
      </c>
      <c r="AT214">
        <v>11.1</v>
      </c>
      <c r="AU214">
        <v>251</v>
      </c>
      <c r="AX214">
        <v>0.6</v>
      </c>
      <c r="AY214">
        <v>251</v>
      </c>
    </row>
    <row r="215" spans="1:51" x14ac:dyDescent="0.3">
      <c r="A215" s="1">
        <v>44775</v>
      </c>
      <c r="B215">
        <v>23.7</v>
      </c>
      <c r="C215">
        <v>15.4</v>
      </c>
      <c r="D215">
        <v>0.2</v>
      </c>
      <c r="E215">
        <f t="shared" si="9"/>
        <v>4</v>
      </c>
      <c r="F215">
        <f t="shared" si="10"/>
        <v>4</v>
      </c>
      <c r="G215">
        <f t="shared" si="11"/>
        <v>0</v>
      </c>
      <c r="V215" s="1">
        <v>44775</v>
      </c>
      <c r="W215">
        <v>23.7</v>
      </c>
      <c r="X215">
        <v>15.4</v>
      </c>
      <c r="Y215">
        <v>0.2</v>
      </c>
      <c r="Z215">
        <v>722</v>
      </c>
      <c r="AA215">
        <v>500</v>
      </c>
      <c r="AD215">
        <v>23.7</v>
      </c>
      <c r="AE215">
        <v>722</v>
      </c>
      <c r="AH215">
        <v>15.4</v>
      </c>
      <c r="AI215">
        <v>722</v>
      </c>
      <c r="AL215">
        <v>0.2</v>
      </c>
      <c r="AM215">
        <v>722</v>
      </c>
      <c r="AP215">
        <v>23.7</v>
      </c>
      <c r="AQ215">
        <v>500</v>
      </c>
      <c r="AT215">
        <v>15.4</v>
      </c>
      <c r="AU215">
        <v>500</v>
      </c>
      <c r="AX215">
        <v>0.2</v>
      </c>
      <c r="AY215">
        <v>500</v>
      </c>
    </row>
    <row r="216" spans="1:51" x14ac:dyDescent="0.3">
      <c r="A216" s="1">
        <v>44776</v>
      </c>
      <c r="B216">
        <v>23.8</v>
      </c>
      <c r="C216">
        <v>14.8</v>
      </c>
      <c r="D216">
        <v>0</v>
      </c>
      <c r="E216">
        <f t="shared" si="9"/>
        <v>4</v>
      </c>
      <c r="F216">
        <f t="shared" si="10"/>
        <v>4</v>
      </c>
      <c r="G216">
        <f t="shared" si="11"/>
        <v>0</v>
      </c>
      <c r="V216" s="1">
        <v>44776</v>
      </c>
      <c r="W216">
        <v>23.8</v>
      </c>
      <c r="X216">
        <v>14.8</v>
      </c>
      <c r="Y216">
        <v>0</v>
      </c>
      <c r="Z216">
        <v>690</v>
      </c>
      <c r="AA216">
        <v>582</v>
      </c>
      <c r="AD216">
        <v>23.8</v>
      </c>
      <c r="AE216">
        <v>690</v>
      </c>
      <c r="AH216">
        <v>14.8</v>
      </c>
      <c r="AI216">
        <v>690</v>
      </c>
      <c r="AL216">
        <v>0</v>
      </c>
      <c r="AM216">
        <v>690</v>
      </c>
      <c r="AP216">
        <v>23.8</v>
      </c>
      <c r="AQ216">
        <v>582</v>
      </c>
      <c r="AT216">
        <v>14.8</v>
      </c>
      <c r="AU216">
        <v>582</v>
      </c>
      <c r="AX216">
        <v>0</v>
      </c>
      <c r="AY216">
        <v>582</v>
      </c>
    </row>
    <row r="217" spans="1:51" x14ac:dyDescent="0.3">
      <c r="A217" s="1">
        <v>44777</v>
      </c>
      <c r="B217">
        <v>23.2</v>
      </c>
      <c r="C217">
        <v>15.2</v>
      </c>
      <c r="D217">
        <v>0</v>
      </c>
      <c r="E217">
        <f t="shared" si="9"/>
        <v>4</v>
      </c>
      <c r="F217">
        <f t="shared" si="10"/>
        <v>4</v>
      </c>
      <c r="G217">
        <f t="shared" si="11"/>
        <v>0</v>
      </c>
      <c r="V217" s="1">
        <v>44777</v>
      </c>
      <c r="W217">
        <v>23.2</v>
      </c>
      <c r="X217">
        <v>15.2</v>
      </c>
      <c r="Y217">
        <v>0</v>
      </c>
      <c r="Z217">
        <v>760</v>
      </c>
      <c r="AA217">
        <v>497</v>
      </c>
      <c r="AD217">
        <v>23.2</v>
      </c>
      <c r="AE217">
        <v>760</v>
      </c>
      <c r="AH217">
        <v>15.2</v>
      </c>
      <c r="AI217">
        <v>760</v>
      </c>
      <c r="AL217">
        <v>0</v>
      </c>
      <c r="AM217">
        <v>760</v>
      </c>
      <c r="AP217">
        <v>23.2</v>
      </c>
      <c r="AQ217">
        <v>497</v>
      </c>
      <c r="AT217">
        <v>15.2</v>
      </c>
      <c r="AU217">
        <v>497</v>
      </c>
      <c r="AX217">
        <v>0</v>
      </c>
      <c r="AY217">
        <v>497</v>
      </c>
    </row>
    <row r="218" spans="1:51" x14ac:dyDescent="0.3">
      <c r="A218" s="1">
        <v>44778</v>
      </c>
      <c r="B218">
        <v>23.9</v>
      </c>
      <c r="C218">
        <v>10.6</v>
      </c>
      <c r="D218">
        <v>0</v>
      </c>
      <c r="E218">
        <f t="shared" si="9"/>
        <v>4</v>
      </c>
      <c r="F218">
        <f t="shared" si="10"/>
        <v>4</v>
      </c>
      <c r="G218">
        <f t="shared" si="11"/>
        <v>0</v>
      </c>
      <c r="V218" s="1">
        <v>44778</v>
      </c>
      <c r="W218">
        <v>23.9</v>
      </c>
      <c r="X218">
        <v>10.6</v>
      </c>
      <c r="Y218">
        <v>0</v>
      </c>
      <c r="Z218">
        <v>693</v>
      </c>
      <c r="AA218">
        <v>626</v>
      </c>
      <c r="AD218">
        <v>23.9</v>
      </c>
      <c r="AE218">
        <v>693</v>
      </c>
      <c r="AH218">
        <v>10.6</v>
      </c>
      <c r="AI218">
        <v>693</v>
      </c>
      <c r="AL218">
        <v>0</v>
      </c>
      <c r="AM218">
        <v>693</v>
      </c>
      <c r="AP218">
        <v>23.9</v>
      </c>
      <c r="AQ218">
        <v>626</v>
      </c>
      <c r="AT218">
        <v>10.6</v>
      </c>
      <c r="AU218">
        <v>626</v>
      </c>
      <c r="AX218">
        <v>0</v>
      </c>
      <c r="AY218">
        <v>626</v>
      </c>
    </row>
    <row r="219" spans="1:51" x14ac:dyDescent="0.3">
      <c r="A219" s="1">
        <v>44779</v>
      </c>
      <c r="B219">
        <v>22.2</v>
      </c>
      <c r="C219">
        <v>9.1999999999999993</v>
      </c>
      <c r="D219">
        <v>4.2</v>
      </c>
      <c r="E219">
        <f t="shared" si="9"/>
        <v>4</v>
      </c>
      <c r="F219">
        <f t="shared" si="10"/>
        <v>4</v>
      </c>
      <c r="G219">
        <f t="shared" si="11"/>
        <v>0</v>
      </c>
      <c r="V219" s="1">
        <v>44779</v>
      </c>
      <c r="W219">
        <v>22.2</v>
      </c>
      <c r="X219">
        <v>9.1999999999999993</v>
      </c>
      <c r="Y219">
        <v>4.2</v>
      </c>
      <c r="Z219">
        <v>411</v>
      </c>
      <c r="AA219">
        <v>306</v>
      </c>
      <c r="AD219">
        <v>22.2</v>
      </c>
      <c r="AE219">
        <v>411</v>
      </c>
      <c r="AH219">
        <v>9.1999999999999993</v>
      </c>
      <c r="AI219">
        <v>411</v>
      </c>
      <c r="AL219">
        <v>4.2</v>
      </c>
      <c r="AM219">
        <v>411</v>
      </c>
      <c r="AP219">
        <v>22.2</v>
      </c>
      <c r="AQ219">
        <v>306</v>
      </c>
      <c r="AT219">
        <v>9.1999999999999993</v>
      </c>
      <c r="AU219">
        <v>306</v>
      </c>
      <c r="AX219">
        <v>4.2</v>
      </c>
      <c r="AY219">
        <v>306</v>
      </c>
    </row>
    <row r="220" spans="1:51" x14ac:dyDescent="0.3">
      <c r="A220" s="1">
        <v>44780</v>
      </c>
      <c r="B220">
        <v>21.9</v>
      </c>
      <c r="C220">
        <v>16.600000000000001</v>
      </c>
      <c r="D220">
        <v>0.2</v>
      </c>
      <c r="E220">
        <f t="shared" si="9"/>
        <v>4</v>
      </c>
      <c r="F220">
        <f t="shared" si="10"/>
        <v>4</v>
      </c>
      <c r="G220">
        <f t="shared" si="11"/>
        <v>0</v>
      </c>
      <c r="V220" s="1">
        <v>44780</v>
      </c>
      <c r="W220">
        <v>21.9</v>
      </c>
      <c r="X220">
        <v>16.600000000000001</v>
      </c>
      <c r="Y220">
        <v>0.2</v>
      </c>
      <c r="Z220">
        <v>779</v>
      </c>
      <c r="AA220">
        <v>748</v>
      </c>
      <c r="AD220">
        <v>21.9</v>
      </c>
      <c r="AE220">
        <v>779</v>
      </c>
      <c r="AH220">
        <v>16.600000000000001</v>
      </c>
      <c r="AI220">
        <v>779</v>
      </c>
      <c r="AL220">
        <v>0.2</v>
      </c>
      <c r="AM220">
        <v>779</v>
      </c>
      <c r="AP220">
        <v>21.9</v>
      </c>
      <c r="AQ220">
        <v>748</v>
      </c>
      <c r="AT220">
        <v>16.600000000000001</v>
      </c>
      <c r="AU220">
        <v>748</v>
      </c>
      <c r="AX220">
        <v>0.2</v>
      </c>
      <c r="AY220">
        <v>748</v>
      </c>
    </row>
    <row r="221" spans="1:51" x14ac:dyDescent="0.3">
      <c r="A221" s="1">
        <v>44781</v>
      </c>
      <c r="B221">
        <v>21.4</v>
      </c>
      <c r="C221">
        <v>16.8</v>
      </c>
      <c r="D221">
        <v>0</v>
      </c>
      <c r="E221">
        <f t="shared" si="9"/>
        <v>4</v>
      </c>
      <c r="F221">
        <f t="shared" si="10"/>
        <v>4</v>
      </c>
      <c r="G221">
        <f t="shared" si="11"/>
        <v>0</v>
      </c>
      <c r="V221" s="1">
        <v>44781</v>
      </c>
      <c r="W221">
        <v>21.4</v>
      </c>
      <c r="X221">
        <v>16.8</v>
      </c>
      <c r="Y221">
        <v>0</v>
      </c>
      <c r="Z221">
        <v>603</v>
      </c>
      <c r="AA221">
        <v>385</v>
      </c>
      <c r="AD221">
        <v>21.4</v>
      </c>
      <c r="AE221">
        <v>603</v>
      </c>
      <c r="AH221">
        <v>16.8</v>
      </c>
      <c r="AI221">
        <v>603</v>
      </c>
      <c r="AL221">
        <v>0</v>
      </c>
      <c r="AM221">
        <v>603</v>
      </c>
      <c r="AP221">
        <v>21.4</v>
      </c>
      <c r="AQ221">
        <v>385</v>
      </c>
      <c r="AT221">
        <v>16.8</v>
      </c>
      <c r="AU221">
        <v>385</v>
      </c>
      <c r="AX221">
        <v>0</v>
      </c>
      <c r="AY221">
        <v>385</v>
      </c>
    </row>
    <row r="222" spans="1:51" x14ac:dyDescent="0.3">
      <c r="A222" s="1">
        <v>44782</v>
      </c>
      <c r="B222">
        <v>21.8</v>
      </c>
      <c r="C222">
        <v>15.9</v>
      </c>
      <c r="D222">
        <v>0</v>
      </c>
      <c r="E222">
        <f t="shared" si="9"/>
        <v>4</v>
      </c>
      <c r="F222">
        <f t="shared" si="10"/>
        <v>4</v>
      </c>
      <c r="G222">
        <f t="shared" si="11"/>
        <v>0</v>
      </c>
      <c r="V222" s="1">
        <v>44782</v>
      </c>
      <c r="W222">
        <v>21.8</v>
      </c>
      <c r="X222">
        <v>15.9</v>
      </c>
      <c r="Y222">
        <v>0</v>
      </c>
      <c r="Z222">
        <v>626</v>
      </c>
      <c r="AA222">
        <v>443</v>
      </c>
      <c r="AD222">
        <v>21.8</v>
      </c>
      <c r="AE222">
        <v>626</v>
      </c>
      <c r="AH222">
        <v>15.9</v>
      </c>
      <c r="AI222">
        <v>626</v>
      </c>
      <c r="AL222">
        <v>0</v>
      </c>
      <c r="AM222">
        <v>626</v>
      </c>
      <c r="AP222">
        <v>21.8</v>
      </c>
      <c r="AQ222">
        <v>443</v>
      </c>
      <c r="AT222">
        <v>15.9</v>
      </c>
      <c r="AU222">
        <v>443</v>
      </c>
      <c r="AX222">
        <v>0</v>
      </c>
      <c r="AY222">
        <v>443</v>
      </c>
    </row>
    <row r="223" spans="1:51" x14ac:dyDescent="0.3">
      <c r="A223" s="1">
        <v>44783</v>
      </c>
      <c r="B223">
        <v>21.6</v>
      </c>
      <c r="C223">
        <v>16.399999999999999</v>
      </c>
      <c r="D223">
        <v>0</v>
      </c>
      <c r="E223">
        <f t="shared" si="9"/>
        <v>4</v>
      </c>
      <c r="F223">
        <f t="shared" si="10"/>
        <v>4</v>
      </c>
      <c r="G223">
        <f t="shared" si="11"/>
        <v>0</v>
      </c>
      <c r="V223" s="1">
        <v>44783</v>
      </c>
      <c r="W223">
        <v>21.6</v>
      </c>
      <c r="X223">
        <v>16.399999999999999</v>
      </c>
      <c r="Y223">
        <v>0</v>
      </c>
      <c r="Z223">
        <v>804</v>
      </c>
      <c r="AA223">
        <v>763</v>
      </c>
      <c r="AD223">
        <v>21.6</v>
      </c>
      <c r="AE223">
        <v>804</v>
      </c>
      <c r="AH223">
        <v>16.399999999999999</v>
      </c>
      <c r="AI223">
        <v>804</v>
      </c>
      <c r="AL223">
        <v>0</v>
      </c>
      <c r="AM223">
        <v>804</v>
      </c>
      <c r="AP223">
        <v>21.6</v>
      </c>
      <c r="AQ223">
        <v>763</v>
      </c>
      <c r="AT223">
        <v>16.399999999999999</v>
      </c>
      <c r="AU223">
        <v>763</v>
      </c>
      <c r="AX223">
        <v>0</v>
      </c>
      <c r="AY223">
        <v>763</v>
      </c>
    </row>
    <row r="224" spans="1:51" x14ac:dyDescent="0.3">
      <c r="A224" s="1">
        <v>44784</v>
      </c>
      <c r="B224">
        <v>21.9</v>
      </c>
      <c r="C224">
        <v>13.6</v>
      </c>
      <c r="D224">
        <v>0</v>
      </c>
      <c r="E224">
        <f t="shared" si="9"/>
        <v>4</v>
      </c>
      <c r="F224">
        <f t="shared" si="10"/>
        <v>4</v>
      </c>
      <c r="G224">
        <f t="shared" si="11"/>
        <v>0</v>
      </c>
      <c r="V224" s="1">
        <v>44784</v>
      </c>
      <c r="W224">
        <v>21.9</v>
      </c>
      <c r="X224">
        <v>13.6</v>
      </c>
      <c r="Y224">
        <v>0</v>
      </c>
      <c r="Z224">
        <v>606</v>
      </c>
      <c r="AA224">
        <v>455</v>
      </c>
      <c r="AD224">
        <v>21.9</v>
      </c>
      <c r="AE224">
        <v>606</v>
      </c>
      <c r="AH224">
        <v>13.6</v>
      </c>
      <c r="AI224">
        <v>606</v>
      </c>
      <c r="AL224">
        <v>0</v>
      </c>
      <c r="AM224">
        <v>606</v>
      </c>
      <c r="AP224">
        <v>21.9</v>
      </c>
      <c r="AQ224">
        <v>455</v>
      </c>
      <c r="AT224">
        <v>13.6</v>
      </c>
      <c r="AU224">
        <v>455</v>
      </c>
      <c r="AX224">
        <v>0</v>
      </c>
      <c r="AY224">
        <v>455</v>
      </c>
    </row>
    <row r="225" spans="1:51" x14ac:dyDescent="0.3">
      <c r="A225" s="1">
        <v>44785</v>
      </c>
      <c r="B225">
        <v>20.3</v>
      </c>
      <c r="C225">
        <v>10</v>
      </c>
      <c r="D225">
        <v>0</v>
      </c>
      <c r="E225">
        <f t="shared" si="9"/>
        <v>4</v>
      </c>
      <c r="F225">
        <f t="shared" si="10"/>
        <v>4</v>
      </c>
      <c r="G225">
        <f t="shared" si="11"/>
        <v>0</v>
      </c>
      <c r="V225" s="1">
        <v>44785</v>
      </c>
      <c r="W225">
        <v>20.3</v>
      </c>
      <c r="X225">
        <v>10</v>
      </c>
      <c r="Y225">
        <v>0</v>
      </c>
      <c r="Z225">
        <v>747</v>
      </c>
      <c r="AA225">
        <v>526</v>
      </c>
      <c r="AD225">
        <v>20.3</v>
      </c>
      <c r="AE225">
        <v>747</v>
      </c>
      <c r="AH225">
        <v>10</v>
      </c>
      <c r="AI225">
        <v>747</v>
      </c>
      <c r="AL225">
        <v>0</v>
      </c>
      <c r="AM225">
        <v>747</v>
      </c>
      <c r="AP225">
        <v>20.3</v>
      </c>
      <c r="AQ225">
        <v>526</v>
      </c>
      <c r="AT225">
        <v>10</v>
      </c>
      <c r="AU225">
        <v>526</v>
      </c>
      <c r="AX225">
        <v>0</v>
      </c>
      <c r="AY225">
        <v>526</v>
      </c>
    </row>
    <row r="226" spans="1:51" x14ac:dyDescent="0.3">
      <c r="A226" s="1">
        <v>44786</v>
      </c>
      <c r="B226">
        <v>16.899999999999999</v>
      </c>
      <c r="C226">
        <v>5.4</v>
      </c>
      <c r="D226">
        <v>0.4</v>
      </c>
      <c r="E226">
        <f t="shared" si="9"/>
        <v>4</v>
      </c>
      <c r="F226">
        <f t="shared" si="10"/>
        <v>4</v>
      </c>
      <c r="G226">
        <f t="shared" si="11"/>
        <v>0</v>
      </c>
      <c r="V226" s="1">
        <v>44786</v>
      </c>
      <c r="W226">
        <v>16.899999999999999</v>
      </c>
      <c r="X226">
        <v>5.4</v>
      </c>
      <c r="Y226">
        <v>0.4</v>
      </c>
      <c r="Z226">
        <v>329</v>
      </c>
      <c r="AA226">
        <v>159</v>
      </c>
      <c r="AD226">
        <v>16.899999999999999</v>
      </c>
      <c r="AE226">
        <v>329</v>
      </c>
      <c r="AH226">
        <v>5.4</v>
      </c>
      <c r="AI226">
        <v>329</v>
      </c>
      <c r="AL226">
        <v>0.4</v>
      </c>
      <c r="AM226">
        <v>329</v>
      </c>
      <c r="AP226">
        <v>16.899999999999999</v>
      </c>
      <c r="AQ226">
        <v>159</v>
      </c>
      <c r="AT226">
        <v>5.4</v>
      </c>
      <c r="AU226">
        <v>159</v>
      </c>
      <c r="AX226">
        <v>0.4</v>
      </c>
      <c r="AY226">
        <v>159</v>
      </c>
    </row>
    <row r="227" spans="1:51" x14ac:dyDescent="0.3">
      <c r="A227" s="1">
        <v>44787</v>
      </c>
      <c r="B227">
        <v>22.3</v>
      </c>
      <c r="C227">
        <v>17.5</v>
      </c>
      <c r="D227">
        <v>1.8</v>
      </c>
      <c r="E227">
        <f t="shared" si="9"/>
        <v>4</v>
      </c>
      <c r="F227">
        <f t="shared" si="10"/>
        <v>4</v>
      </c>
      <c r="G227">
        <f t="shared" si="11"/>
        <v>0</v>
      </c>
      <c r="V227" s="1">
        <v>44787</v>
      </c>
      <c r="W227">
        <v>22.3</v>
      </c>
      <c r="X227">
        <v>17.5</v>
      </c>
      <c r="Y227">
        <v>1.8</v>
      </c>
      <c r="Z227">
        <v>825</v>
      </c>
      <c r="AA227">
        <v>684</v>
      </c>
      <c r="AD227">
        <v>22.3</v>
      </c>
      <c r="AE227">
        <v>825</v>
      </c>
      <c r="AH227">
        <v>17.5</v>
      </c>
      <c r="AI227">
        <v>825</v>
      </c>
      <c r="AL227">
        <v>1.8</v>
      </c>
      <c r="AM227">
        <v>825</v>
      </c>
      <c r="AP227">
        <v>22.3</v>
      </c>
      <c r="AQ227">
        <v>684</v>
      </c>
      <c r="AT227">
        <v>17.5</v>
      </c>
      <c r="AU227">
        <v>684</v>
      </c>
      <c r="AX227">
        <v>1.8</v>
      </c>
      <c r="AY227">
        <v>684</v>
      </c>
    </row>
    <row r="228" spans="1:51" x14ac:dyDescent="0.3">
      <c r="A228" s="1">
        <v>44788</v>
      </c>
      <c r="B228">
        <v>21.8</v>
      </c>
      <c r="C228">
        <v>17.600000000000001</v>
      </c>
      <c r="D228">
        <v>0</v>
      </c>
      <c r="E228">
        <f t="shared" si="9"/>
        <v>4</v>
      </c>
      <c r="F228">
        <f t="shared" si="10"/>
        <v>4</v>
      </c>
      <c r="G228">
        <f t="shared" si="11"/>
        <v>0</v>
      </c>
      <c r="V228" s="1">
        <v>44788</v>
      </c>
      <c r="W228">
        <v>21.8</v>
      </c>
      <c r="X228">
        <v>17.600000000000001</v>
      </c>
      <c r="Y228">
        <v>0</v>
      </c>
      <c r="Z228">
        <v>574</v>
      </c>
      <c r="AA228">
        <v>401</v>
      </c>
      <c r="AD228">
        <v>21.8</v>
      </c>
      <c r="AE228">
        <v>574</v>
      </c>
      <c r="AH228">
        <v>17.600000000000001</v>
      </c>
      <c r="AI228">
        <v>574</v>
      </c>
      <c r="AL228">
        <v>0</v>
      </c>
      <c r="AM228">
        <v>574</v>
      </c>
      <c r="AP228">
        <v>21.8</v>
      </c>
      <c r="AQ228">
        <v>401</v>
      </c>
      <c r="AT228">
        <v>17.600000000000001</v>
      </c>
      <c r="AU228">
        <v>401</v>
      </c>
      <c r="AX228">
        <v>0</v>
      </c>
      <c r="AY228">
        <v>401</v>
      </c>
    </row>
    <row r="229" spans="1:51" x14ac:dyDescent="0.3">
      <c r="A229" s="1">
        <v>44789</v>
      </c>
      <c r="B229">
        <v>22.1</v>
      </c>
      <c r="C229">
        <v>16.600000000000001</v>
      </c>
      <c r="D229">
        <v>0</v>
      </c>
      <c r="E229">
        <f t="shared" si="9"/>
        <v>4</v>
      </c>
      <c r="F229">
        <f t="shared" si="10"/>
        <v>4</v>
      </c>
      <c r="G229">
        <f t="shared" si="11"/>
        <v>0</v>
      </c>
      <c r="V229" s="1">
        <v>44789</v>
      </c>
      <c r="W229">
        <v>22.1</v>
      </c>
      <c r="X229">
        <v>16.600000000000001</v>
      </c>
      <c r="Y229">
        <v>0</v>
      </c>
      <c r="Z229">
        <v>711</v>
      </c>
      <c r="AA229">
        <v>510</v>
      </c>
      <c r="AD229">
        <v>22.1</v>
      </c>
      <c r="AE229">
        <v>711</v>
      </c>
      <c r="AH229">
        <v>16.600000000000001</v>
      </c>
      <c r="AI229">
        <v>711</v>
      </c>
      <c r="AL229">
        <v>0</v>
      </c>
      <c r="AM229">
        <v>711</v>
      </c>
      <c r="AP229">
        <v>22.1</v>
      </c>
      <c r="AQ229">
        <v>510</v>
      </c>
      <c r="AT229">
        <v>16.600000000000001</v>
      </c>
      <c r="AU229">
        <v>510</v>
      </c>
      <c r="AX229">
        <v>0</v>
      </c>
      <c r="AY229">
        <v>510</v>
      </c>
    </row>
    <row r="230" spans="1:51" x14ac:dyDescent="0.3">
      <c r="A230" s="1">
        <v>44790</v>
      </c>
      <c r="B230">
        <v>22.3</v>
      </c>
      <c r="C230">
        <v>17.8</v>
      </c>
      <c r="D230">
        <v>0</v>
      </c>
      <c r="E230">
        <f t="shared" si="9"/>
        <v>4</v>
      </c>
      <c r="F230">
        <f t="shared" si="10"/>
        <v>4</v>
      </c>
      <c r="G230">
        <f t="shared" si="11"/>
        <v>0</v>
      </c>
      <c r="V230" s="1">
        <v>44790</v>
      </c>
      <c r="W230">
        <v>22.3</v>
      </c>
      <c r="X230">
        <v>17.8</v>
      </c>
      <c r="Y230">
        <v>0</v>
      </c>
      <c r="Z230">
        <v>743</v>
      </c>
      <c r="AA230">
        <v>559</v>
      </c>
      <c r="AD230">
        <v>22.3</v>
      </c>
      <c r="AE230">
        <v>743</v>
      </c>
      <c r="AH230">
        <v>17.8</v>
      </c>
      <c r="AI230">
        <v>743</v>
      </c>
      <c r="AL230">
        <v>0</v>
      </c>
      <c r="AM230">
        <v>743</v>
      </c>
      <c r="AP230">
        <v>22.3</v>
      </c>
      <c r="AQ230">
        <v>559</v>
      </c>
      <c r="AT230">
        <v>17.8</v>
      </c>
      <c r="AU230">
        <v>559</v>
      </c>
      <c r="AX230">
        <v>0</v>
      </c>
      <c r="AY230">
        <v>559</v>
      </c>
    </row>
    <row r="231" spans="1:51" x14ac:dyDescent="0.3">
      <c r="A231" s="1">
        <v>44791</v>
      </c>
      <c r="B231">
        <v>23.9</v>
      </c>
      <c r="C231">
        <v>18</v>
      </c>
      <c r="D231">
        <v>0</v>
      </c>
      <c r="E231">
        <f t="shared" si="9"/>
        <v>4</v>
      </c>
      <c r="F231">
        <f t="shared" si="10"/>
        <v>4</v>
      </c>
      <c r="G231">
        <f t="shared" si="11"/>
        <v>0</v>
      </c>
      <c r="V231" s="1">
        <v>44791</v>
      </c>
      <c r="W231">
        <v>23.9</v>
      </c>
      <c r="X231">
        <v>18</v>
      </c>
      <c r="Y231">
        <v>0</v>
      </c>
      <c r="Z231">
        <v>711</v>
      </c>
      <c r="AA231">
        <v>490</v>
      </c>
      <c r="AD231">
        <v>23.9</v>
      </c>
      <c r="AE231">
        <v>711</v>
      </c>
      <c r="AH231">
        <v>18</v>
      </c>
      <c r="AI231">
        <v>711</v>
      </c>
      <c r="AL231">
        <v>0</v>
      </c>
      <c r="AM231">
        <v>711</v>
      </c>
      <c r="AP231">
        <v>23.9</v>
      </c>
      <c r="AQ231">
        <v>490</v>
      </c>
      <c r="AT231">
        <v>18</v>
      </c>
      <c r="AU231">
        <v>490</v>
      </c>
      <c r="AX231">
        <v>0</v>
      </c>
      <c r="AY231">
        <v>490</v>
      </c>
    </row>
    <row r="232" spans="1:51" x14ac:dyDescent="0.3">
      <c r="A232" s="1">
        <v>44792</v>
      </c>
      <c r="B232">
        <v>28.1</v>
      </c>
      <c r="C232">
        <v>18.100000000000001</v>
      </c>
      <c r="D232">
        <v>0</v>
      </c>
      <c r="E232">
        <f t="shared" si="9"/>
        <v>4</v>
      </c>
      <c r="F232">
        <f t="shared" si="10"/>
        <v>4</v>
      </c>
      <c r="G232">
        <f t="shared" si="11"/>
        <v>0</v>
      </c>
      <c r="V232" s="1">
        <v>44792</v>
      </c>
      <c r="W232">
        <v>28.1</v>
      </c>
      <c r="X232">
        <v>18.100000000000001</v>
      </c>
      <c r="Y232">
        <v>0</v>
      </c>
      <c r="Z232">
        <v>728</v>
      </c>
      <c r="AA232">
        <v>581</v>
      </c>
      <c r="AD232">
        <v>28.1</v>
      </c>
      <c r="AE232">
        <v>728</v>
      </c>
      <c r="AH232">
        <v>18.100000000000001</v>
      </c>
      <c r="AI232">
        <v>728</v>
      </c>
      <c r="AL232">
        <v>0</v>
      </c>
      <c r="AM232">
        <v>728</v>
      </c>
      <c r="AP232">
        <v>28.1</v>
      </c>
      <c r="AQ232">
        <v>581</v>
      </c>
      <c r="AT232">
        <v>18.100000000000001</v>
      </c>
      <c r="AU232">
        <v>581</v>
      </c>
      <c r="AX232">
        <v>0</v>
      </c>
      <c r="AY232">
        <v>581</v>
      </c>
    </row>
    <row r="233" spans="1:51" x14ac:dyDescent="0.3">
      <c r="A233" s="1">
        <v>44793</v>
      </c>
      <c r="B233">
        <v>24</v>
      </c>
      <c r="C233">
        <v>18.3</v>
      </c>
      <c r="D233">
        <v>0</v>
      </c>
      <c r="E233">
        <f t="shared" si="9"/>
        <v>4</v>
      </c>
      <c r="F233">
        <f t="shared" si="10"/>
        <v>4</v>
      </c>
      <c r="G233">
        <f t="shared" si="11"/>
        <v>0</v>
      </c>
      <c r="V233" s="1">
        <v>44793</v>
      </c>
      <c r="W233">
        <v>24</v>
      </c>
      <c r="X233">
        <v>18.3</v>
      </c>
      <c r="Y233">
        <v>0</v>
      </c>
      <c r="Z233">
        <v>698</v>
      </c>
      <c r="AA233">
        <v>575</v>
      </c>
      <c r="AD233">
        <v>24</v>
      </c>
      <c r="AE233">
        <v>698</v>
      </c>
      <c r="AH233">
        <v>18.3</v>
      </c>
      <c r="AI233">
        <v>698</v>
      </c>
      <c r="AL233">
        <v>0</v>
      </c>
      <c r="AM233">
        <v>698</v>
      </c>
      <c r="AP233">
        <v>24</v>
      </c>
      <c r="AQ233">
        <v>575</v>
      </c>
      <c r="AT233">
        <v>18.3</v>
      </c>
      <c r="AU233">
        <v>575</v>
      </c>
      <c r="AX233">
        <v>0</v>
      </c>
      <c r="AY233">
        <v>575</v>
      </c>
    </row>
    <row r="234" spans="1:51" x14ac:dyDescent="0.3">
      <c r="A234" s="1">
        <v>44794</v>
      </c>
      <c r="B234">
        <v>21.5</v>
      </c>
      <c r="C234">
        <v>14.6</v>
      </c>
      <c r="D234">
        <v>0</v>
      </c>
      <c r="E234">
        <f t="shared" si="9"/>
        <v>4</v>
      </c>
      <c r="F234">
        <f t="shared" si="10"/>
        <v>4</v>
      </c>
      <c r="G234">
        <f t="shared" si="11"/>
        <v>0</v>
      </c>
      <c r="V234" s="1">
        <v>44794</v>
      </c>
      <c r="W234">
        <v>21.5</v>
      </c>
      <c r="X234">
        <v>14.6</v>
      </c>
      <c r="Y234">
        <v>0</v>
      </c>
      <c r="Z234">
        <v>784</v>
      </c>
      <c r="AA234">
        <v>717</v>
      </c>
      <c r="AD234">
        <v>21.5</v>
      </c>
      <c r="AE234">
        <v>784</v>
      </c>
      <c r="AH234">
        <v>14.6</v>
      </c>
      <c r="AI234">
        <v>784</v>
      </c>
      <c r="AL234">
        <v>0</v>
      </c>
      <c r="AM234">
        <v>784</v>
      </c>
      <c r="AP234">
        <v>21.5</v>
      </c>
      <c r="AQ234">
        <v>717</v>
      </c>
      <c r="AT234">
        <v>14.6</v>
      </c>
      <c r="AU234">
        <v>717</v>
      </c>
      <c r="AX234">
        <v>0</v>
      </c>
      <c r="AY234">
        <v>717</v>
      </c>
    </row>
    <row r="235" spans="1:51" x14ac:dyDescent="0.3">
      <c r="A235" s="1">
        <v>44795</v>
      </c>
      <c r="B235">
        <v>21.7</v>
      </c>
      <c r="C235">
        <v>15.7</v>
      </c>
      <c r="D235">
        <v>0</v>
      </c>
      <c r="E235">
        <f t="shared" si="9"/>
        <v>4</v>
      </c>
      <c r="F235">
        <f t="shared" si="10"/>
        <v>4</v>
      </c>
      <c r="G235">
        <f t="shared" si="11"/>
        <v>0</v>
      </c>
      <c r="V235" s="1">
        <v>44795</v>
      </c>
      <c r="W235">
        <v>21.7</v>
      </c>
      <c r="X235">
        <v>15.7</v>
      </c>
      <c r="Y235">
        <v>0</v>
      </c>
      <c r="Z235">
        <v>549</v>
      </c>
      <c r="AA235">
        <v>420</v>
      </c>
      <c r="AD235">
        <v>21.7</v>
      </c>
      <c r="AE235">
        <v>549</v>
      </c>
      <c r="AH235">
        <v>15.7</v>
      </c>
      <c r="AI235">
        <v>549</v>
      </c>
      <c r="AL235">
        <v>0</v>
      </c>
      <c r="AM235">
        <v>549</v>
      </c>
      <c r="AP235">
        <v>21.7</v>
      </c>
      <c r="AQ235">
        <v>420</v>
      </c>
      <c r="AT235">
        <v>15.7</v>
      </c>
      <c r="AU235">
        <v>420</v>
      </c>
      <c r="AX235">
        <v>0</v>
      </c>
      <c r="AY235">
        <v>420</v>
      </c>
    </row>
    <row r="236" spans="1:51" x14ac:dyDescent="0.3">
      <c r="A236" s="1">
        <v>44796</v>
      </c>
      <c r="B236">
        <v>25.2</v>
      </c>
      <c r="C236">
        <v>17.100000000000001</v>
      </c>
      <c r="D236">
        <v>0</v>
      </c>
      <c r="E236">
        <f t="shared" si="9"/>
        <v>4</v>
      </c>
      <c r="F236">
        <f t="shared" si="10"/>
        <v>4</v>
      </c>
      <c r="G236">
        <f t="shared" si="11"/>
        <v>0</v>
      </c>
      <c r="V236" s="1">
        <v>44796</v>
      </c>
      <c r="W236">
        <v>25.2</v>
      </c>
      <c r="X236">
        <v>17.100000000000001</v>
      </c>
      <c r="Y236">
        <v>0</v>
      </c>
      <c r="Z236">
        <v>736</v>
      </c>
      <c r="AA236">
        <v>565</v>
      </c>
      <c r="AD236">
        <v>25.2</v>
      </c>
      <c r="AE236">
        <v>736</v>
      </c>
      <c r="AH236">
        <v>17.100000000000001</v>
      </c>
      <c r="AI236">
        <v>736</v>
      </c>
      <c r="AL236">
        <v>0</v>
      </c>
      <c r="AM236">
        <v>736</v>
      </c>
      <c r="AP236">
        <v>25.2</v>
      </c>
      <c r="AQ236">
        <v>565</v>
      </c>
      <c r="AT236">
        <v>17.100000000000001</v>
      </c>
      <c r="AU236">
        <v>565</v>
      </c>
      <c r="AX236">
        <v>0</v>
      </c>
      <c r="AY236">
        <v>565</v>
      </c>
    </row>
    <row r="237" spans="1:51" x14ac:dyDescent="0.3">
      <c r="A237" s="1">
        <v>44797</v>
      </c>
      <c r="B237">
        <v>19.899999999999999</v>
      </c>
      <c r="C237">
        <v>18.8</v>
      </c>
      <c r="D237">
        <v>4.5999999999999996</v>
      </c>
      <c r="E237">
        <f t="shared" si="9"/>
        <v>4</v>
      </c>
      <c r="F237">
        <f t="shared" si="10"/>
        <v>4</v>
      </c>
      <c r="G237">
        <f t="shared" si="11"/>
        <v>0</v>
      </c>
      <c r="V237" s="1">
        <v>44797</v>
      </c>
      <c r="W237">
        <v>19.899999999999999</v>
      </c>
      <c r="X237">
        <v>18.8</v>
      </c>
      <c r="Y237">
        <v>4.5999999999999996</v>
      </c>
      <c r="Z237">
        <v>564</v>
      </c>
      <c r="AA237">
        <v>434</v>
      </c>
      <c r="AD237">
        <v>19.899999999999999</v>
      </c>
      <c r="AE237">
        <v>564</v>
      </c>
      <c r="AH237">
        <v>18.8</v>
      </c>
      <c r="AI237">
        <v>564</v>
      </c>
      <c r="AL237">
        <v>4.5999999999999996</v>
      </c>
      <c r="AM237">
        <v>564</v>
      </c>
      <c r="AP237">
        <v>19.899999999999999</v>
      </c>
      <c r="AQ237">
        <v>434</v>
      </c>
      <c r="AT237">
        <v>18.8</v>
      </c>
      <c r="AU237">
        <v>434</v>
      </c>
      <c r="AX237">
        <v>4.5999999999999996</v>
      </c>
      <c r="AY237">
        <v>434</v>
      </c>
    </row>
    <row r="238" spans="1:51" x14ac:dyDescent="0.3">
      <c r="A238" s="1">
        <v>44798</v>
      </c>
      <c r="B238">
        <v>22.1</v>
      </c>
      <c r="C238">
        <v>18.899999999999999</v>
      </c>
      <c r="D238">
        <v>5.6</v>
      </c>
      <c r="E238">
        <f t="shared" si="9"/>
        <v>4</v>
      </c>
      <c r="F238">
        <f t="shared" si="10"/>
        <v>4</v>
      </c>
      <c r="G238">
        <f t="shared" si="11"/>
        <v>0</v>
      </c>
      <c r="V238" s="1">
        <v>44798</v>
      </c>
      <c r="W238">
        <v>22.1</v>
      </c>
      <c r="X238">
        <v>18.899999999999999</v>
      </c>
      <c r="Y238">
        <v>5.6</v>
      </c>
      <c r="Z238">
        <v>713</v>
      </c>
      <c r="AA238">
        <v>472</v>
      </c>
      <c r="AD238">
        <v>22.1</v>
      </c>
      <c r="AE238">
        <v>713</v>
      </c>
      <c r="AH238">
        <v>18.899999999999999</v>
      </c>
      <c r="AI238">
        <v>713</v>
      </c>
      <c r="AL238">
        <v>5.6</v>
      </c>
      <c r="AM238">
        <v>713</v>
      </c>
      <c r="AP238">
        <v>22.1</v>
      </c>
      <c r="AQ238">
        <v>472</v>
      </c>
      <c r="AT238">
        <v>18.899999999999999</v>
      </c>
      <c r="AU238">
        <v>472</v>
      </c>
      <c r="AX238">
        <v>5.6</v>
      </c>
      <c r="AY238">
        <v>472</v>
      </c>
    </row>
    <row r="239" spans="1:51" x14ac:dyDescent="0.3">
      <c r="A239" s="1">
        <v>44799</v>
      </c>
      <c r="B239">
        <v>21.8</v>
      </c>
      <c r="C239">
        <v>15.4</v>
      </c>
      <c r="D239">
        <v>0</v>
      </c>
      <c r="E239">
        <f t="shared" si="9"/>
        <v>4</v>
      </c>
      <c r="F239">
        <f t="shared" si="10"/>
        <v>4</v>
      </c>
      <c r="G239">
        <f t="shared" si="11"/>
        <v>0</v>
      </c>
      <c r="V239" s="1">
        <v>44799</v>
      </c>
      <c r="W239">
        <v>21.8</v>
      </c>
      <c r="X239">
        <v>15.4</v>
      </c>
      <c r="Y239">
        <v>0</v>
      </c>
      <c r="Z239">
        <v>769</v>
      </c>
      <c r="AA239">
        <v>571</v>
      </c>
      <c r="AD239">
        <v>21.8</v>
      </c>
      <c r="AE239">
        <v>769</v>
      </c>
      <c r="AH239">
        <v>15.4</v>
      </c>
      <c r="AI239">
        <v>769</v>
      </c>
      <c r="AL239">
        <v>0</v>
      </c>
      <c r="AM239">
        <v>769</v>
      </c>
      <c r="AP239">
        <v>21.8</v>
      </c>
      <c r="AQ239">
        <v>571</v>
      </c>
      <c r="AT239">
        <v>15.4</v>
      </c>
      <c r="AU239">
        <v>571</v>
      </c>
      <c r="AX239">
        <v>0</v>
      </c>
      <c r="AY239">
        <v>571</v>
      </c>
    </row>
    <row r="240" spans="1:51" x14ac:dyDescent="0.3">
      <c r="A240" s="1">
        <v>44800</v>
      </c>
      <c r="B240">
        <v>22.2</v>
      </c>
      <c r="C240">
        <v>17.8</v>
      </c>
      <c r="D240">
        <v>0</v>
      </c>
      <c r="E240">
        <f t="shared" si="9"/>
        <v>4</v>
      </c>
      <c r="F240">
        <f t="shared" si="10"/>
        <v>4</v>
      </c>
      <c r="G240">
        <f t="shared" si="11"/>
        <v>0</v>
      </c>
      <c r="V240" s="1">
        <v>44800</v>
      </c>
      <c r="W240">
        <v>22.2</v>
      </c>
      <c r="X240">
        <v>17.8</v>
      </c>
      <c r="Y240">
        <v>0</v>
      </c>
      <c r="Z240">
        <v>671</v>
      </c>
      <c r="AA240">
        <v>578</v>
      </c>
      <c r="AD240">
        <v>22.2</v>
      </c>
      <c r="AE240">
        <v>671</v>
      </c>
      <c r="AH240">
        <v>17.8</v>
      </c>
      <c r="AI240">
        <v>671</v>
      </c>
      <c r="AL240">
        <v>0</v>
      </c>
      <c r="AM240">
        <v>671</v>
      </c>
      <c r="AP240">
        <v>22.2</v>
      </c>
      <c r="AQ240">
        <v>578</v>
      </c>
      <c r="AT240">
        <v>17.8</v>
      </c>
      <c r="AU240">
        <v>578</v>
      </c>
      <c r="AX240">
        <v>0</v>
      </c>
      <c r="AY240">
        <v>578</v>
      </c>
    </row>
    <row r="241" spans="1:51" x14ac:dyDescent="0.3">
      <c r="A241" s="1">
        <v>44801</v>
      </c>
      <c r="B241">
        <v>22.7</v>
      </c>
      <c r="C241">
        <v>15.4</v>
      </c>
      <c r="D241">
        <v>0</v>
      </c>
      <c r="E241">
        <f t="shared" si="9"/>
        <v>4</v>
      </c>
      <c r="F241">
        <f t="shared" si="10"/>
        <v>4</v>
      </c>
      <c r="G241">
        <f t="shared" si="11"/>
        <v>0</v>
      </c>
      <c r="V241" s="1">
        <v>44801</v>
      </c>
      <c r="W241">
        <v>22.7</v>
      </c>
      <c r="X241">
        <v>15.4</v>
      </c>
      <c r="Y241">
        <v>0</v>
      </c>
      <c r="Z241">
        <v>397</v>
      </c>
      <c r="AA241">
        <v>686</v>
      </c>
      <c r="AD241">
        <v>22.7</v>
      </c>
      <c r="AE241">
        <v>397</v>
      </c>
      <c r="AH241">
        <v>15.4</v>
      </c>
      <c r="AI241">
        <v>397</v>
      </c>
      <c r="AL241">
        <v>0</v>
      </c>
      <c r="AM241">
        <v>397</v>
      </c>
      <c r="AP241">
        <v>22.7</v>
      </c>
      <c r="AQ241">
        <v>686</v>
      </c>
      <c r="AT241">
        <v>15.4</v>
      </c>
      <c r="AU241">
        <v>686</v>
      </c>
      <c r="AX241">
        <v>0</v>
      </c>
      <c r="AY241">
        <v>686</v>
      </c>
    </row>
    <row r="242" spans="1:51" x14ac:dyDescent="0.3">
      <c r="A242" s="1">
        <v>44802</v>
      </c>
      <c r="B242">
        <v>23</v>
      </c>
      <c r="C242">
        <v>15.6</v>
      </c>
      <c r="D242">
        <v>0.2</v>
      </c>
      <c r="E242">
        <f t="shared" si="9"/>
        <v>4</v>
      </c>
      <c r="F242">
        <f t="shared" si="10"/>
        <v>4</v>
      </c>
      <c r="G242">
        <f t="shared" si="11"/>
        <v>0</v>
      </c>
      <c r="V242" s="1">
        <v>44802</v>
      </c>
      <c r="W242">
        <v>23</v>
      </c>
      <c r="X242">
        <v>15.6</v>
      </c>
      <c r="Y242">
        <v>0.2</v>
      </c>
      <c r="Z242">
        <v>497</v>
      </c>
      <c r="AA242">
        <v>326</v>
      </c>
      <c r="AD242">
        <v>23</v>
      </c>
      <c r="AE242">
        <v>497</v>
      </c>
      <c r="AH242">
        <v>15.6</v>
      </c>
      <c r="AI242">
        <v>497</v>
      </c>
      <c r="AL242">
        <v>0.2</v>
      </c>
      <c r="AM242">
        <v>497</v>
      </c>
      <c r="AP242">
        <v>23</v>
      </c>
      <c r="AQ242">
        <v>326</v>
      </c>
      <c r="AT242">
        <v>15.6</v>
      </c>
      <c r="AU242">
        <v>326</v>
      </c>
      <c r="AX242">
        <v>0.2</v>
      </c>
      <c r="AY242">
        <v>326</v>
      </c>
    </row>
    <row r="243" spans="1:51" x14ac:dyDescent="0.3">
      <c r="A243" s="1">
        <v>44803</v>
      </c>
      <c r="B243">
        <v>20.7</v>
      </c>
      <c r="C243">
        <v>8.5</v>
      </c>
      <c r="D243">
        <v>5.6</v>
      </c>
      <c r="E243">
        <f t="shared" si="9"/>
        <v>4</v>
      </c>
      <c r="F243">
        <f t="shared" si="10"/>
        <v>4</v>
      </c>
      <c r="G243">
        <f t="shared" si="11"/>
        <v>0</v>
      </c>
      <c r="V243" s="1">
        <v>44803</v>
      </c>
      <c r="W243">
        <v>20.7</v>
      </c>
      <c r="X243">
        <v>8.5</v>
      </c>
      <c r="Y243">
        <v>5.6</v>
      </c>
      <c r="Z243">
        <v>556</v>
      </c>
      <c r="AA243">
        <v>413</v>
      </c>
      <c r="AD243">
        <v>20.7</v>
      </c>
      <c r="AE243">
        <v>556</v>
      </c>
      <c r="AH243">
        <v>8.5</v>
      </c>
      <c r="AI243">
        <v>556</v>
      </c>
      <c r="AL243">
        <v>5.6</v>
      </c>
      <c r="AM243">
        <v>556</v>
      </c>
      <c r="AP243">
        <v>20.7</v>
      </c>
      <c r="AQ243">
        <v>413</v>
      </c>
      <c r="AT243">
        <v>8.5</v>
      </c>
      <c r="AU243">
        <v>413</v>
      </c>
      <c r="AX243">
        <v>5.6</v>
      </c>
      <c r="AY243">
        <v>413</v>
      </c>
    </row>
    <row r="244" spans="1:51" x14ac:dyDescent="0.3">
      <c r="A244" s="1">
        <v>44804</v>
      </c>
      <c r="B244">
        <v>24.9</v>
      </c>
      <c r="C244">
        <v>15.9</v>
      </c>
      <c r="D244">
        <v>5</v>
      </c>
      <c r="E244">
        <f t="shared" si="9"/>
        <v>4</v>
      </c>
      <c r="F244">
        <f t="shared" si="10"/>
        <v>4</v>
      </c>
      <c r="G244">
        <f t="shared" si="11"/>
        <v>0</v>
      </c>
      <c r="V244" s="1">
        <v>44804</v>
      </c>
      <c r="W244">
        <v>24.9</v>
      </c>
      <c r="X244">
        <v>15.9</v>
      </c>
      <c r="Y244">
        <v>5</v>
      </c>
      <c r="Z244">
        <v>427</v>
      </c>
      <c r="AA244">
        <v>274</v>
      </c>
      <c r="AD244">
        <v>24.9</v>
      </c>
      <c r="AE244">
        <v>427</v>
      </c>
      <c r="AH244">
        <v>15.9</v>
      </c>
      <c r="AI244">
        <v>427</v>
      </c>
      <c r="AL244">
        <v>5</v>
      </c>
      <c r="AM244">
        <v>427</v>
      </c>
      <c r="AP244">
        <v>24.9</v>
      </c>
      <c r="AQ244">
        <v>274</v>
      </c>
      <c r="AT244">
        <v>15.9</v>
      </c>
      <c r="AU244">
        <v>274</v>
      </c>
      <c r="AX244">
        <v>5</v>
      </c>
      <c r="AY244">
        <v>274</v>
      </c>
    </row>
    <row r="245" spans="1:51" x14ac:dyDescent="0.3">
      <c r="A245" s="1">
        <v>44805</v>
      </c>
      <c r="B245">
        <v>22.8</v>
      </c>
      <c r="C245">
        <v>15.9</v>
      </c>
      <c r="D245">
        <v>0</v>
      </c>
      <c r="E245">
        <f t="shared" si="9"/>
        <v>4</v>
      </c>
      <c r="F245">
        <f t="shared" si="10"/>
        <v>4</v>
      </c>
      <c r="G245">
        <f t="shared" si="11"/>
        <v>0</v>
      </c>
      <c r="V245" s="1">
        <v>44805</v>
      </c>
      <c r="W245">
        <v>22.8</v>
      </c>
      <c r="X245">
        <v>15.9</v>
      </c>
      <c r="Y245">
        <v>0</v>
      </c>
      <c r="Z245">
        <v>776</v>
      </c>
      <c r="AA245">
        <v>495</v>
      </c>
      <c r="AD245">
        <v>22.8</v>
      </c>
      <c r="AE245">
        <v>776</v>
      </c>
      <c r="AH245">
        <v>15.9</v>
      </c>
      <c r="AI245">
        <v>776</v>
      </c>
      <c r="AL245">
        <v>0</v>
      </c>
      <c r="AM245">
        <v>776</v>
      </c>
      <c r="AP245">
        <v>22.8</v>
      </c>
      <c r="AQ245">
        <v>495</v>
      </c>
      <c r="AT245">
        <v>15.9</v>
      </c>
      <c r="AU245">
        <v>495</v>
      </c>
      <c r="AX245">
        <v>0</v>
      </c>
      <c r="AY245">
        <v>495</v>
      </c>
    </row>
    <row r="246" spans="1:51" x14ac:dyDescent="0.3">
      <c r="A246" s="1">
        <v>44806</v>
      </c>
      <c r="B246">
        <v>20.3</v>
      </c>
      <c r="C246">
        <v>8.5</v>
      </c>
      <c r="D246">
        <v>0</v>
      </c>
      <c r="E246">
        <f t="shared" si="9"/>
        <v>4</v>
      </c>
      <c r="F246">
        <f t="shared" si="10"/>
        <v>4</v>
      </c>
      <c r="G246">
        <f t="shared" si="11"/>
        <v>0</v>
      </c>
      <c r="V246" s="1">
        <v>44806</v>
      </c>
      <c r="W246">
        <v>20.3</v>
      </c>
      <c r="X246">
        <v>8.5</v>
      </c>
      <c r="Y246">
        <v>0</v>
      </c>
      <c r="Z246">
        <v>543</v>
      </c>
      <c r="AA246">
        <v>479</v>
      </c>
      <c r="AD246">
        <v>20.3</v>
      </c>
      <c r="AE246">
        <v>543</v>
      </c>
      <c r="AH246">
        <v>8.5</v>
      </c>
      <c r="AI246">
        <v>543</v>
      </c>
      <c r="AL246">
        <v>0</v>
      </c>
      <c r="AM246">
        <v>543</v>
      </c>
      <c r="AP246">
        <v>20.3</v>
      </c>
      <c r="AQ246">
        <v>479</v>
      </c>
      <c r="AT246">
        <v>8.5</v>
      </c>
      <c r="AU246">
        <v>479</v>
      </c>
      <c r="AX246">
        <v>0</v>
      </c>
      <c r="AY246">
        <v>479</v>
      </c>
    </row>
    <row r="247" spans="1:51" x14ac:dyDescent="0.3">
      <c r="A247" s="1">
        <v>44807</v>
      </c>
      <c r="B247">
        <v>19.399999999999999</v>
      </c>
      <c r="C247">
        <v>10.1</v>
      </c>
      <c r="D247">
        <v>9.4</v>
      </c>
      <c r="E247">
        <f t="shared" si="9"/>
        <v>4</v>
      </c>
      <c r="F247">
        <f t="shared" si="10"/>
        <v>4</v>
      </c>
      <c r="G247">
        <f t="shared" si="11"/>
        <v>0</v>
      </c>
      <c r="V247" s="1">
        <v>44807</v>
      </c>
      <c r="W247">
        <v>19.399999999999999</v>
      </c>
      <c r="X247">
        <v>10.1</v>
      </c>
      <c r="Y247">
        <v>9.4</v>
      </c>
      <c r="Z247">
        <v>280</v>
      </c>
      <c r="AA247">
        <v>104</v>
      </c>
      <c r="AD247">
        <v>19.399999999999999</v>
      </c>
      <c r="AE247">
        <v>280</v>
      </c>
      <c r="AH247">
        <v>10.1</v>
      </c>
      <c r="AI247">
        <v>280</v>
      </c>
      <c r="AL247">
        <v>9.4</v>
      </c>
      <c r="AM247">
        <v>280</v>
      </c>
      <c r="AP247">
        <v>19.399999999999999</v>
      </c>
      <c r="AQ247">
        <v>104</v>
      </c>
      <c r="AT247">
        <v>10.1</v>
      </c>
      <c r="AU247">
        <v>104</v>
      </c>
      <c r="AX247">
        <v>9.4</v>
      </c>
      <c r="AY247">
        <v>104</v>
      </c>
    </row>
    <row r="248" spans="1:51" x14ac:dyDescent="0.3">
      <c r="A248" s="1">
        <v>44808</v>
      </c>
      <c r="B248">
        <v>21.9</v>
      </c>
      <c r="C248">
        <v>16.100000000000001</v>
      </c>
      <c r="D248">
        <v>3.2</v>
      </c>
      <c r="E248">
        <f t="shared" si="9"/>
        <v>4</v>
      </c>
      <c r="F248">
        <f t="shared" si="10"/>
        <v>4</v>
      </c>
      <c r="G248">
        <f t="shared" si="11"/>
        <v>0</v>
      </c>
      <c r="V248" s="1">
        <v>44808</v>
      </c>
      <c r="W248">
        <v>21.9</v>
      </c>
      <c r="X248">
        <v>16.100000000000001</v>
      </c>
      <c r="Y248">
        <v>3.2</v>
      </c>
      <c r="Z248">
        <v>766</v>
      </c>
      <c r="AA248">
        <v>639</v>
      </c>
      <c r="AD248">
        <v>21.9</v>
      </c>
      <c r="AE248">
        <v>766</v>
      </c>
      <c r="AH248">
        <v>16.100000000000001</v>
      </c>
      <c r="AI248">
        <v>766</v>
      </c>
      <c r="AL248">
        <v>3.2</v>
      </c>
      <c r="AM248">
        <v>766</v>
      </c>
      <c r="AP248">
        <v>21.9</v>
      </c>
      <c r="AQ248">
        <v>639</v>
      </c>
      <c r="AT248">
        <v>16.100000000000001</v>
      </c>
      <c r="AU248">
        <v>639</v>
      </c>
      <c r="AX248">
        <v>3.2</v>
      </c>
      <c r="AY248">
        <v>639</v>
      </c>
    </row>
    <row r="249" spans="1:51" x14ac:dyDescent="0.3">
      <c r="A249" s="1">
        <v>44809</v>
      </c>
      <c r="B249">
        <v>21.2</v>
      </c>
      <c r="C249">
        <v>13.9</v>
      </c>
      <c r="D249">
        <v>0</v>
      </c>
      <c r="E249">
        <f t="shared" si="9"/>
        <v>4</v>
      </c>
      <c r="F249">
        <f t="shared" si="10"/>
        <v>4</v>
      </c>
      <c r="G249">
        <f t="shared" si="11"/>
        <v>0</v>
      </c>
      <c r="V249" s="1">
        <v>44809</v>
      </c>
      <c r="W249">
        <v>21.2</v>
      </c>
      <c r="X249">
        <v>13.9</v>
      </c>
      <c r="Y249">
        <v>0</v>
      </c>
      <c r="Z249">
        <v>508</v>
      </c>
      <c r="AA249">
        <v>397</v>
      </c>
      <c r="AD249">
        <v>21.2</v>
      </c>
      <c r="AE249">
        <v>508</v>
      </c>
      <c r="AH249">
        <v>13.9</v>
      </c>
      <c r="AI249">
        <v>508</v>
      </c>
      <c r="AL249">
        <v>0</v>
      </c>
      <c r="AM249">
        <v>508</v>
      </c>
      <c r="AP249">
        <v>21.2</v>
      </c>
      <c r="AQ249">
        <v>397</v>
      </c>
      <c r="AT249">
        <v>13.9</v>
      </c>
      <c r="AU249">
        <v>397</v>
      </c>
      <c r="AX249">
        <v>0</v>
      </c>
      <c r="AY249">
        <v>397</v>
      </c>
    </row>
    <row r="250" spans="1:51" x14ac:dyDescent="0.3">
      <c r="A250" s="1">
        <v>44810</v>
      </c>
      <c r="B250">
        <v>21.7</v>
      </c>
      <c r="C250">
        <v>17.100000000000001</v>
      </c>
      <c r="D250">
        <v>5.6</v>
      </c>
      <c r="E250">
        <f t="shared" si="9"/>
        <v>4</v>
      </c>
      <c r="F250">
        <f t="shared" si="10"/>
        <v>4</v>
      </c>
      <c r="G250">
        <f t="shared" si="11"/>
        <v>0</v>
      </c>
      <c r="V250" s="1">
        <v>44810</v>
      </c>
      <c r="W250">
        <v>21.7</v>
      </c>
      <c r="X250">
        <v>17.100000000000001</v>
      </c>
      <c r="Y250">
        <v>5.6</v>
      </c>
      <c r="Z250">
        <v>744</v>
      </c>
      <c r="AA250">
        <v>612</v>
      </c>
      <c r="AD250">
        <v>21.7</v>
      </c>
      <c r="AE250">
        <v>744</v>
      </c>
      <c r="AH250">
        <v>17.100000000000001</v>
      </c>
      <c r="AI250">
        <v>744</v>
      </c>
      <c r="AL250">
        <v>5.6</v>
      </c>
      <c r="AM250">
        <v>744</v>
      </c>
      <c r="AP250">
        <v>21.7</v>
      </c>
      <c r="AQ250">
        <v>612</v>
      </c>
      <c r="AT250">
        <v>17.100000000000001</v>
      </c>
      <c r="AU250">
        <v>612</v>
      </c>
      <c r="AX250">
        <v>5.6</v>
      </c>
      <c r="AY250">
        <v>612</v>
      </c>
    </row>
    <row r="251" spans="1:51" x14ac:dyDescent="0.3">
      <c r="A251" s="1">
        <v>44811</v>
      </c>
      <c r="B251">
        <v>21</v>
      </c>
      <c r="C251">
        <v>13.5</v>
      </c>
      <c r="D251">
        <v>0</v>
      </c>
      <c r="E251">
        <f t="shared" si="9"/>
        <v>4</v>
      </c>
      <c r="F251">
        <f t="shared" si="10"/>
        <v>4</v>
      </c>
      <c r="G251">
        <f t="shared" si="11"/>
        <v>0</v>
      </c>
      <c r="V251" s="1">
        <v>44811</v>
      </c>
      <c r="W251">
        <v>21</v>
      </c>
      <c r="X251">
        <v>13.5</v>
      </c>
      <c r="Y251">
        <v>0</v>
      </c>
      <c r="Z251">
        <v>691</v>
      </c>
      <c r="AA251">
        <v>521</v>
      </c>
      <c r="AD251">
        <v>21</v>
      </c>
      <c r="AE251">
        <v>691</v>
      </c>
      <c r="AH251">
        <v>13.5</v>
      </c>
      <c r="AI251">
        <v>691</v>
      </c>
      <c r="AL251">
        <v>0</v>
      </c>
      <c r="AM251">
        <v>691</v>
      </c>
      <c r="AP251">
        <v>21</v>
      </c>
      <c r="AQ251">
        <v>521</v>
      </c>
      <c r="AT251">
        <v>13.5</v>
      </c>
      <c r="AU251">
        <v>521</v>
      </c>
      <c r="AX251">
        <v>0</v>
      </c>
      <c r="AY251">
        <v>521</v>
      </c>
    </row>
    <row r="252" spans="1:51" x14ac:dyDescent="0.3">
      <c r="A252" s="1">
        <v>44812</v>
      </c>
      <c r="B252">
        <v>21.5</v>
      </c>
      <c r="C252">
        <v>15</v>
      </c>
      <c r="D252">
        <v>0.2</v>
      </c>
      <c r="E252">
        <f t="shared" si="9"/>
        <v>4</v>
      </c>
      <c r="F252">
        <f t="shared" si="10"/>
        <v>4</v>
      </c>
      <c r="G252">
        <f t="shared" si="11"/>
        <v>0</v>
      </c>
      <c r="V252" s="1">
        <v>44812</v>
      </c>
      <c r="W252">
        <v>21.5</v>
      </c>
      <c r="X252">
        <v>15</v>
      </c>
      <c r="Y252">
        <v>0.2</v>
      </c>
      <c r="Z252">
        <v>704</v>
      </c>
      <c r="AA252">
        <v>497</v>
      </c>
      <c r="AD252">
        <v>21.5</v>
      </c>
      <c r="AE252">
        <v>704</v>
      </c>
      <c r="AH252">
        <v>15</v>
      </c>
      <c r="AI252">
        <v>704</v>
      </c>
      <c r="AL252">
        <v>0.2</v>
      </c>
      <c r="AM252">
        <v>704</v>
      </c>
      <c r="AP252">
        <v>21.5</v>
      </c>
      <c r="AQ252">
        <v>497</v>
      </c>
      <c r="AT252">
        <v>15</v>
      </c>
      <c r="AU252">
        <v>497</v>
      </c>
      <c r="AX252">
        <v>0.2</v>
      </c>
      <c r="AY252">
        <v>497</v>
      </c>
    </row>
    <row r="253" spans="1:51" x14ac:dyDescent="0.3">
      <c r="A253" s="1">
        <v>44813</v>
      </c>
      <c r="B253">
        <v>23.7</v>
      </c>
      <c r="C253">
        <v>12.3</v>
      </c>
      <c r="D253">
        <v>9</v>
      </c>
      <c r="E253">
        <f t="shared" si="9"/>
        <v>4</v>
      </c>
      <c r="F253">
        <f t="shared" si="10"/>
        <v>4</v>
      </c>
      <c r="G253">
        <f t="shared" si="11"/>
        <v>0</v>
      </c>
      <c r="V253" s="1">
        <v>44813</v>
      </c>
      <c r="W253">
        <v>23.7</v>
      </c>
      <c r="X253">
        <v>12.3</v>
      </c>
      <c r="Y253">
        <v>9</v>
      </c>
      <c r="Z253">
        <v>310</v>
      </c>
      <c r="AA253">
        <v>143</v>
      </c>
      <c r="AD253">
        <v>23.7</v>
      </c>
      <c r="AE253">
        <v>310</v>
      </c>
      <c r="AH253">
        <v>12.3</v>
      </c>
      <c r="AI253">
        <v>310</v>
      </c>
      <c r="AL253">
        <v>9</v>
      </c>
      <c r="AM253">
        <v>310</v>
      </c>
      <c r="AP253">
        <v>23.7</v>
      </c>
      <c r="AQ253">
        <v>143</v>
      </c>
      <c r="AT253">
        <v>12.3</v>
      </c>
      <c r="AU253">
        <v>143</v>
      </c>
      <c r="AX253">
        <v>9</v>
      </c>
      <c r="AY253">
        <v>143</v>
      </c>
    </row>
    <row r="254" spans="1:51" x14ac:dyDescent="0.3">
      <c r="A254" s="1">
        <v>44814</v>
      </c>
      <c r="B254">
        <v>25.5</v>
      </c>
      <c r="C254">
        <v>19.8</v>
      </c>
      <c r="D254">
        <v>3.8</v>
      </c>
      <c r="E254">
        <f t="shared" si="9"/>
        <v>4</v>
      </c>
      <c r="F254">
        <f t="shared" si="10"/>
        <v>4</v>
      </c>
      <c r="G254">
        <f t="shared" si="11"/>
        <v>0</v>
      </c>
      <c r="V254" s="1">
        <v>44814</v>
      </c>
      <c r="W254">
        <v>25.5</v>
      </c>
      <c r="X254">
        <v>19.8</v>
      </c>
      <c r="Y254">
        <v>3.8</v>
      </c>
      <c r="Z254">
        <v>652</v>
      </c>
      <c r="AA254">
        <v>610</v>
      </c>
      <c r="AD254">
        <v>25.5</v>
      </c>
      <c r="AE254">
        <v>652</v>
      </c>
      <c r="AH254">
        <v>19.8</v>
      </c>
      <c r="AI254">
        <v>652</v>
      </c>
      <c r="AL254">
        <v>3.8</v>
      </c>
      <c r="AM254">
        <v>652</v>
      </c>
      <c r="AP254">
        <v>25.5</v>
      </c>
      <c r="AQ254">
        <v>610</v>
      </c>
      <c r="AT254">
        <v>19.8</v>
      </c>
      <c r="AU254">
        <v>610</v>
      </c>
      <c r="AX254">
        <v>3.8</v>
      </c>
      <c r="AY254">
        <v>610</v>
      </c>
    </row>
    <row r="255" spans="1:51" x14ac:dyDescent="0.3">
      <c r="A255" s="1">
        <v>44815</v>
      </c>
      <c r="B255">
        <v>25.4</v>
      </c>
      <c r="C255">
        <v>19.899999999999999</v>
      </c>
      <c r="D255">
        <v>0</v>
      </c>
      <c r="E255">
        <f t="shared" si="9"/>
        <v>4</v>
      </c>
      <c r="F255">
        <f t="shared" si="10"/>
        <v>4</v>
      </c>
      <c r="G255">
        <f t="shared" si="11"/>
        <v>0</v>
      </c>
      <c r="V255" s="1">
        <v>44815</v>
      </c>
      <c r="W255">
        <v>25.4</v>
      </c>
      <c r="X255">
        <v>19.899999999999999</v>
      </c>
      <c r="Y255">
        <v>0</v>
      </c>
      <c r="Z255">
        <v>712</v>
      </c>
      <c r="AA255">
        <v>742</v>
      </c>
      <c r="AD255">
        <v>25.4</v>
      </c>
      <c r="AE255">
        <v>712</v>
      </c>
      <c r="AH255">
        <v>19.899999999999999</v>
      </c>
      <c r="AI255">
        <v>712</v>
      </c>
      <c r="AL255">
        <v>0</v>
      </c>
      <c r="AM255">
        <v>712</v>
      </c>
      <c r="AP255">
        <v>25.4</v>
      </c>
      <c r="AQ255">
        <v>742</v>
      </c>
      <c r="AT255">
        <v>19.899999999999999</v>
      </c>
      <c r="AU255">
        <v>742</v>
      </c>
      <c r="AX255">
        <v>0</v>
      </c>
      <c r="AY255">
        <v>742</v>
      </c>
    </row>
    <row r="256" spans="1:51" x14ac:dyDescent="0.3">
      <c r="A256" s="1">
        <v>44816</v>
      </c>
      <c r="B256">
        <v>23.2</v>
      </c>
      <c r="C256">
        <v>13.1</v>
      </c>
      <c r="D256">
        <v>0</v>
      </c>
      <c r="E256">
        <f t="shared" si="9"/>
        <v>4</v>
      </c>
      <c r="F256">
        <f t="shared" si="10"/>
        <v>4</v>
      </c>
      <c r="G256">
        <f t="shared" si="11"/>
        <v>0</v>
      </c>
      <c r="V256" s="1">
        <v>44816</v>
      </c>
      <c r="W256">
        <v>23.2</v>
      </c>
      <c r="X256">
        <v>13.1</v>
      </c>
      <c r="Y256">
        <v>0</v>
      </c>
      <c r="Z256">
        <v>549</v>
      </c>
      <c r="AA256">
        <v>409</v>
      </c>
      <c r="AD256">
        <v>23.2</v>
      </c>
      <c r="AE256">
        <v>549</v>
      </c>
      <c r="AH256">
        <v>13.1</v>
      </c>
      <c r="AI256">
        <v>549</v>
      </c>
      <c r="AL256">
        <v>0</v>
      </c>
      <c r="AM256">
        <v>549</v>
      </c>
      <c r="AP256">
        <v>23.2</v>
      </c>
      <c r="AQ256">
        <v>409</v>
      </c>
      <c r="AT256">
        <v>13.1</v>
      </c>
      <c r="AU256">
        <v>409</v>
      </c>
      <c r="AX256">
        <v>0</v>
      </c>
      <c r="AY256">
        <v>409</v>
      </c>
    </row>
    <row r="257" spans="1:51" x14ac:dyDescent="0.3">
      <c r="A257" s="1">
        <v>44817</v>
      </c>
      <c r="B257">
        <v>25</v>
      </c>
      <c r="C257">
        <v>21.6</v>
      </c>
      <c r="D257">
        <v>0</v>
      </c>
      <c r="E257">
        <f t="shared" si="9"/>
        <v>4</v>
      </c>
      <c r="F257">
        <f t="shared" si="10"/>
        <v>4</v>
      </c>
      <c r="G257">
        <f t="shared" si="11"/>
        <v>0</v>
      </c>
      <c r="V257" s="1">
        <v>44817</v>
      </c>
      <c r="W257">
        <v>25</v>
      </c>
      <c r="X257">
        <v>21.6</v>
      </c>
      <c r="Y257">
        <v>0</v>
      </c>
      <c r="Z257">
        <v>718</v>
      </c>
      <c r="AA257">
        <v>588</v>
      </c>
      <c r="AD257">
        <v>25</v>
      </c>
      <c r="AE257">
        <v>718</v>
      </c>
      <c r="AH257">
        <v>21.6</v>
      </c>
      <c r="AI257">
        <v>718</v>
      </c>
      <c r="AL257">
        <v>0</v>
      </c>
      <c r="AM257">
        <v>718</v>
      </c>
      <c r="AP257">
        <v>25</v>
      </c>
      <c r="AQ257">
        <v>588</v>
      </c>
      <c r="AT257">
        <v>21.6</v>
      </c>
      <c r="AU257">
        <v>588</v>
      </c>
      <c r="AX257">
        <v>0</v>
      </c>
      <c r="AY257">
        <v>588</v>
      </c>
    </row>
    <row r="258" spans="1:51" x14ac:dyDescent="0.3">
      <c r="A258" s="1">
        <v>44818</v>
      </c>
      <c r="B258">
        <v>23.5</v>
      </c>
      <c r="C258">
        <v>19.899999999999999</v>
      </c>
      <c r="D258">
        <v>0</v>
      </c>
      <c r="E258">
        <f t="shared" si="9"/>
        <v>4</v>
      </c>
      <c r="F258">
        <f t="shared" si="10"/>
        <v>4</v>
      </c>
      <c r="G258">
        <f t="shared" si="11"/>
        <v>0</v>
      </c>
      <c r="V258" s="1">
        <v>44818</v>
      </c>
      <c r="W258">
        <v>23.5</v>
      </c>
      <c r="X258">
        <v>19.899999999999999</v>
      </c>
      <c r="Y258">
        <v>0</v>
      </c>
      <c r="Z258">
        <v>692</v>
      </c>
      <c r="AA258">
        <v>529</v>
      </c>
      <c r="AD258">
        <v>23.5</v>
      </c>
      <c r="AE258">
        <v>692</v>
      </c>
      <c r="AH258">
        <v>19.899999999999999</v>
      </c>
      <c r="AI258">
        <v>692</v>
      </c>
      <c r="AL258">
        <v>0</v>
      </c>
      <c r="AM258">
        <v>692</v>
      </c>
      <c r="AP258">
        <v>23.5</v>
      </c>
      <c r="AQ258">
        <v>529</v>
      </c>
      <c r="AT258">
        <v>19.899999999999999</v>
      </c>
      <c r="AU258">
        <v>529</v>
      </c>
      <c r="AX258">
        <v>0</v>
      </c>
      <c r="AY258">
        <v>529</v>
      </c>
    </row>
    <row r="259" spans="1:51" x14ac:dyDescent="0.3">
      <c r="A259" s="1">
        <v>44819</v>
      </c>
      <c r="B259">
        <v>22.2</v>
      </c>
      <c r="C259">
        <v>14.1</v>
      </c>
      <c r="D259">
        <v>0</v>
      </c>
      <c r="E259">
        <f t="shared" ref="E259:E322" si="12">COUNT(A259:D259)</f>
        <v>4</v>
      </c>
      <c r="F259">
        <f t="shared" ref="F259:F322" si="13">COUNTA(A259:D259)</f>
        <v>4</v>
      </c>
      <c r="G259">
        <f t="shared" ref="G259:G322" si="14">COUNTBLANK(A259:D259)</f>
        <v>0</v>
      </c>
      <c r="V259" s="1">
        <v>44819</v>
      </c>
      <c r="W259">
        <v>22.2</v>
      </c>
      <c r="X259">
        <v>14.1</v>
      </c>
      <c r="Y259">
        <v>0</v>
      </c>
      <c r="Z259">
        <v>612</v>
      </c>
      <c r="AA259">
        <v>544</v>
      </c>
      <c r="AD259">
        <v>22.2</v>
      </c>
      <c r="AE259">
        <v>612</v>
      </c>
      <c r="AH259">
        <v>14.1</v>
      </c>
      <c r="AI259">
        <v>612</v>
      </c>
      <c r="AL259">
        <v>0</v>
      </c>
      <c r="AM259">
        <v>612</v>
      </c>
      <c r="AP259">
        <v>22.2</v>
      </c>
      <c r="AQ259">
        <v>544</v>
      </c>
      <c r="AT259">
        <v>14.1</v>
      </c>
      <c r="AU259">
        <v>544</v>
      </c>
      <c r="AX259">
        <v>0</v>
      </c>
      <c r="AY259">
        <v>544</v>
      </c>
    </row>
    <row r="260" spans="1:51" x14ac:dyDescent="0.3">
      <c r="A260" s="1">
        <v>44820</v>
      </c>
      <c r="B260">
        <v>22.7</v>
      </c>
      <c r="C260">
        <v>7.9</v>
      </c>
      <c r="D260">
        <v>4.2</v>
      </c>
      <c r="E260">
        <f t="shared" si="12"/>
        <v>4</v>
      </c>
      <c r="F260">
        <f t="shared" si="13"/>
        <v>4</v>
      </c>
      <c r="G260">
        <f t="shared" si="14"/>
        <v>0</v>
      </c>
      <c r="V260" s="1">
        <v>44820</v>
      </c>
      <c r="W260">
        <v>22.7</v>
      </c>
      <c r="X260">
        <v>7.9</v>
      </c>
      <c r="Y260">
        <v>4.2</v>
      </c>
      <c r="Z260">
        <v>314</v>
      </c>
      <c r="AA260">
        <v>192</v>
      </c>
      <c r="AD260">
        <v>22.7</v>
      </c>
      <c r="AE260">
        <v>314</v>
      </c>
      <c r="AH260">
        <v>7.9</v>
      </c>
      <c r="AI260">
        <v>314</v>
      </c>
      <c r="AL260">
        <v>4.2</v>
      </c>
      <c r="AM260">
        <v>314</v>
      </c>
      <c r="AP260">
        <v>22.7</v>
      </c>
      <c r="AQ260">
        <v>192</v>
      </c>
      <c r="AT260">
        <v>7.9</v>
      </c>
      <c r="AU260">
        <v>192</v>
      </c>
      <c r="AX260">
        <v>4.2</v>
      </c>
      <c r="AY260">
        <v>192</v>
      </c>
    </row>
    <row r="261" spans="1:51" x14ac:dyDescent="0.3">
      <c r="A261" s="1">
        <v>44821</v>
      </c>
      <c r="B261">
        <v>29.6</v>
      </c>
      <c r="C261">
        <v>18.7</v>
      </c>
      <c r="D261">
        <v>0</v>
      </c>
      <c r="E261">
        <f t="shared" si="12"/>
        <v>4</v>
      </c>
      <c r="F261">
        <f t="shared" si="13"/>
        <v>4</v>
      </c>
      <c r="G261">
        <f t="shared" si="14"/>
        <v>0</v>
      </c>
      <c r="V261" s="1">
        <v>44821</v>
      </c>
      <c r="W261">
        <v>29.6</v>
      </c>
      <c r="X261">
        <v>18.7</v>
      </c>
      <c r="Y261">
        <v>0</v>
      </c>
      <c r="Z261">
        <v>505</v>
      </c>
      <c r="AA261">
        <v>565</v>
      </c>
      <c r="AD261">
        <v>29.6</v>
      </c>
      <c r="AE261">
        <v>505</v>
      </c>
      <c r="AH261">
        <v>18.7</v>
      </c>
      <c r="AI261">
        <v>505</v>
      </c>
      <c r="AL261">
        <v>0</v>
      </c>
      <c r="AM261">
        <v>505</v>
      </c>
      <c r="AP261">
        <v>29.6</v>
      </c>
      <c r="AQ261">
        <v>565</v>
      </c>
      <c r="AT261">
        <v>18.7</v>
      </c>
      <c r="AU261">
        <v>565</v>
      </c>
      <c r="AX261">
        <v>0</v>
      </c>
      <c r="AY261">
        <v>565</v>
      </c>
    </row>
    <row r="262" spans="1:51" x14ac:dyDescent="0.3">
      <c r="A262" s="1">
        <v>44822</v>
      </c>
      <c r="B262">
        <v>27.3</v>
      </c>
      <c r="C262">
        <v>22.4</v>
      </c>
      <c r="D262">
        <v>0</v>
      </c>
      <c r="E262">
        <f t="shared" si="12"/>
        <v>4</v>
      </c>
      <c r="F262">
        <f t="shared" si="13"/>
        <v>4</v>
      </c>
      <c r="G262">
        <f t="shared" si="14"/>
        <v>0</v>
      </c>
      <c r="V262" s="1">
        <v>44822</v>
      </c>
      <c r="W262">
        <v>27.3</v>
      </c>
      <c r="X262">
        <v>22.4</v>
      </c>
      <c r="Y262">
        <v>0</v>
      </c>
      <c r="Z262">
        <v>743</v>
      </c>
      <c r="AA262">
        <v>772</v>
      </c>
      <c r="AD262">
        <v>27.3</v>
      </c>
      <c r="AE262">
        <v>743</v>
      </c>
      <c r="AH262">
        <v>22.4</v>
      </c>
      <c r="AI262">
        <v>743</v>
      </c>
      <c r="AL262">
        <v>0</v>
      </c>
      <c r="AM262">
        <v>743</v>
      </c>
      <c r="AP262">
        <v>27.3</v>
      </c>
      <c r="AQ262">
        <v>772</v>
      </c>
      <c r="AT262">
        <v>22.4</v>
      </c>
      <c r="AU262">
        <v>772</v>
      </c>
      <c r="AX262">
        <v>0</v>
      </c>
      <c r="AY262">
        <v>772</v>
      </c>
    </row>
    <row r="263" spans="1:51" x14ac:dyDescent="0.3">
      <c r="A263" s="1">
        <v>44823</v>
      </c>
      <c r="B263">
        <v>28.8</v>
      </c>
      <c r="C263">
        <v>22.5</v>
      </c>
      <c r="D263">
        <v>0</v>
      </c>
      <c r="E263">
        <f t="shared" si="12"/>
        <v>4</v>
      </c>
      <c r="F263">
        <f t="shared" si="13"/>
        <v>4</v>
      </c>
      <c r="G263">
        <f t="shared" si="14"/>
        <v>0</v>
      </c>
      <c r="V263" s="1">
        <v>44823</v>
      </c>
      <c r="W263">
        <v>28.8</v>
      </c>
      <c r="X263">
        <v>22.5</v>
      </c>
      <c r="Y263">
        <v>0</v>
      </c>
      <c r="Z263">
        <v>433</v>
      </c>
      <c r="AA263">
        <v>371</v>
      </c>
      <c r="AD263">
        <v>28.8</v>
      </c>
      <c r="AE263">
        <v>433</v>
      </c>
      <c r="AH263">
        <v>22.5</v>
      </c>
      <c r="AI263">
        <v>433</v>
      </c>
      <c r="AL263">
        <v>0</v>
      </c>
      <c r="AM263">
        <v>433</v>
      </c>
      <c r="AP263">
        <v>28.8</v>
      </c>
      <c r="AQ263">
        <v>371</v>
      </c>
      <c r="AT263">
        <v>22.5</v>
      </c>
      <c r="AU263">
        <v>371</v>
      </c>
      <c r="AX263">
        <v>0</v>
      </c>
      <c r="AY263">
        <v>371</v>
      </c>
    </row>
    <row r="264" spans="1:51" x14ac:dyDescent="0.3">
      <c r="A264" s="1">
        <v>44824</v>
      </c>
      <c r="B264">
        <v>27.7</v>
      </c>
      <c r="C264">
        <v>22.7</v>
      </c>
      <c r="D264">
        <v>0</v>
      </c>
      <c r="E264">
        <f t="shared" si="12"/>
        <v>4</v>
      </c>
      <c r="F264">
        <f t="shared" si="13"/>
        <v>4</v>
      </c>
      <c r="G264">
        <f t="shared" si="14"/>
        <v>0</v>
      </c>
      <c r="V264" s="1">
        <v>44824</v>
      </c>
      <c r="W264">
        <v>27.7</v>
      </c>
      <c r="X264">
        <v>22.7</v>
      </c>
      <c r="Y264">
        <v>0</v>
      </c>
      <c r="Z264">
        <v>598</v>
      </c>
      <c r="AA264">
        <v>497</v>
      </c>
      <c r="AD264">
        <v>27.7</v>
      </c>
      <c r="AE264">
        <v>598</v>
      </c>
      <c r="AH264">
        <v>22.7</v>
      </c>
      <c r="AI264">
        <v>598</v>
      </c>
      <c r="AL264">
        <v>0</v>
      </c>
      <c r="AM264">
        <v>598</v>
      </c>
      <c r="AP264">
        <v>27.7</v>
      </c>
      <c r="AQ264">
        <v>497</v>
      </c>
      <c r="AT264">
        <v>22.7</v>
      </c>
      <c r="AU264">
        <v>497</v>
      </c>
      <c r="AX264">
        <v>0</v>
      </c>
      <c r="AY264">
        <v>497</v>
      </c>
    </row>
    <row r="265" spans="1:51" x14ac:dyDescent="0.3">
      <c r="A265" s="1">
        <v>44825</v>
      </c>
      <c r="B265">
        <v>23.4</v>
      </c>
      <c r="C265">
        <v>10.5</v>
      </c>
      <c r="D265">
        <v>0</v>
      </c>
      <c r="E265">
        <f t="shared" si="12"/>
        <v>4</v>
      </c>
      <c r="F265">
        <f t="shared" si="13"/>
        <v>4</v>
      </c>
      <c r="G265">
        <f t="shared" si="14"/>
        <v>0</v>
      </c>
      <c r="V265" s="1">
        <v>44825</v>
      </c>
      <c r="W265">
        <v>23.4</v>
      </c>
      <c r="X265">
        <v>10.5</v>
      </c>
      <c r="Y265">
        <v>0</v>
      </c>
      <c r="Z265">
        <v>510</v>
      </c>
      <c r="AA265">
        <v>476</v>
      </c>
      <c r="AD265">
        <v>23.4</v>
      </c>
      <c r="AE265">
        <v>510</v>
      </c>
      <c r="AH265">
        <v>10.5</v>
      </c>
      <c r="AI265">
        <v>510</v>
      </c>
      <c r="AL265">
        <v>0</v>
      </c>
      <c r="AM265">
        <v>510</v>
      </c>
      <c r="AP265">
        <v>23.4</v>
      </c>
      <c r="AQ265">
        <v>476</v>
      </c>
      <c r="AT265">
        <v>10.5</v>
      </c>
      <c r="AU265">
        <v>476</v>
      </c>
      <c r="AX265">
        <v>0</v>
      </c>
      <c r="AY265">
        <v>476</v>
      </c>
    </row>
    <row r="266" spans="1:51" x14ac:dyDescent="0.3">
      <c r="A266" s="1">
        <v>44826</v>
      </c>
      <c r="B266">
        <v>20.9</v>
      </c>
      <c r="C266">
        <v>10.7</v>
      </c>
      <c r="D266">
        <v>22.4</v>
      </c>
      <c r="E266">
        <f t="shared" si="12"/>
        <v>4</v>
      </c>
      <c r="F266">
        <f t="shared" si="13"/>
        <v>4</v>
      </c>
      <c r="G266">
        <f t="shared" si="14"/>
        <v>0</v>
      </c>
      <c r="V266" s="1">
        <v>44826</v>
      </c>
      <c r="W266">
        <v>20.9</v>
      </c>
      <c r="X266">
        <v>10.7</v>
      </c>
      <c r="Y266">
        <v>22.4</v>
      </c>
      <c r="Z266">
        <v>269</v>
      </c>
      <c r="AA266">
        <v>118</v>
      </c>
      <c r="AD266">
        <v>20.9</v>
      </c>
      <c r="AE266">
        <v>269</v>
      </c>
      <c r="AH266">
        <v>10.7</v>
      </c>
      <c r="AI266">
        <v>269</v>
      </c>
      <c r="AL266">
        <v>22.4</v>
      </c>
      <c r="AM266">
        <v>269</v>
      </c>
      <c r="AP266">
        <v>20.9</v>
      </c>
      <c r="AQ266">
        <v>118</v>
      </c>
      <c r="AT266">
        <v>10.7</v>
      </c>
      <c r="AU266">
        <v>118</v>
      </c>
      <c r="AX266">
        <v>22.4</v>
      </c>
      <c r="AY266">
        <v>118</v>
      </c>
    </row>
    <row r="267" spans="1:51" x14ac:dyDescent="0.3">
      <c r="A267" s="1">
        <v>44827</v>
      </c>
      <c r="B267">
        <v>25.8</v>
      </c>
      <c r="C267">
        <v>19.3</v>
      </c>
      <c r="D267">
        <v>31.6</v>
      </c>
      <c r="E267">
        <f t="shared" si="12"/>
        <v>4</v>
      </c>
      <c r="F267">
        <f t="shared" si="13"/>
        <v>4</v>
      </c>
      <c r="G267">
        <f t="shared" si="14"/>
        <v>0</v>
      </c>
      <c r="V267" s="1">
        <v>44827</v>
      </c>
      <c r="W267">
        <v>25.8</v>
      </c>
      <c r="X267">
        <v>19.3</v>
      </c>
      <c r="Y267">
        <v>31.6</v>
      </c>
      <c r="Z267">
        <v>520</v>
      </c>
      <c r="AA267">
        <v>352</v>
      </c>
      <c r="AD267">
        <v>25.8</v>
      </c>
      <c r="AE267">
        <v>520</v>
      </c>
      <c r="AH267">
        <v>19.3</v>
      </c>
      <c r="AI267">
        <v>520</v>
      </c>
      <c r="AL267">
        <v>31.6</v>
      </c>
      <c r="AM267">
        <v>520</v>
      </c>
      <c r="AP267">
        <v>25.8</v>
      </c>
      <c r="AQ267">
        <v>352</v>
      </c>
      <c r="AT267">
        <v>19.3</v>
      </c>
      <c r="AU267">
        <v>352</v>
      </c>
      <c r="AX267">
        <v>31.6</v>
      </c>
      <c r="AY267">
        <v>352</v>
      </c>
    </row>
    <row r="268" spans="1:51" x14ac:dyDescent="0.3">
      <c r="A268" s="1">
        <v>44828</v>
      </c>
      <c r="B268">
        <v>27.9</v>
      </c>
      <c r="C268">
        <v>22.8</v>
      </c>
      <c r="D268">
        <v>0</v>
      </c>
      <c r="E268">
        <f t="shared" si="12"/>
        <v>4</v>
      </c>
      <c r="F268">
        <f t="shared" si="13"/>
        <v>4</v>
      </c>
      <c r="G268">
        <f t="shared" si="14"/>
        <v>0</v>
      </c>
      <c r="V268" s="1">
        <v>44828</v>
      </c>
      <c r="W268">
        <v>27.9</v>
      </c>
      <c r="X268">
        <v>22.8</v>
      </c>
      <c r="Y268">
        <v>0</v>
      </c>
      <c r="Z268">
        <v>668</v>
      </c>
      <c r="AA268">
        <v>653</v>
      </c>
      <c r="AD268">
        <v>27.9</v>
      </c>
      <c r="AE268">
        <v>668</v>
      </c>
      <c r="AH268">
        <v>22.8</v>
      </c>
      <c r="AI268">
        <v>668</v>
      </c>
      <c r="AL268">
        <v>0</v>
      </c>
      <c r="AM268">
        <v>668</v>
      </c>
      <c r="AP268">
        <v>27.9</v>
      </c>
      <c r="AQ268">
        <v>653</v>
      </c>
      <c r="AT268">
        <v>22.8</v>
      </c>
      <c r="AU268">
        <v>653</v>
      </c>
      <c r="AX268">
        <v>0</v>
      </c>
      <c r="AY268">
        <v>653</v>
      </c>
    </row>
    <row r="269" spans="1:51" x14ac:dyDescent="0.3">
      <c r="A269" s="1">
        <v>44829</v>
      </c>
      <c r="B269">
        <v>26.9</v>
      </c>
      <c r="C269">
        <v>23.6</v>
      </c>
      <c r="D269">
        <v>0</v>
      </c>
      <c r="E269">
        <f t="shared" si="12"/>
        <v>4</v>
      </c>
      <c r="F269">
        <f t="shared" si="13"/>
        <v>4</v>
      </c>
      <c r="G269">
        <f t="shared" si="14"/>
        <v>0</v>
      </c>
      <c r="V269" s="1">
        <v>44829</v>
      </c>
      <c r="W269">
        <v>26.9</v>
      </c>
      <c r="X269">
        <v>23.6</v>
      </c>
      <c r="Y269">
        <v>0</v>
      </c>
      <c r="Z269">
        <v>708</v>
      </c>
      <c r="AA269">
        <v>777</v>
      </c>
      <c r="AD269">
        <v>26.9</v>
      </c>
      <c r="AE269">
        <v>708</v>
      </c>
      <c r="AH269">
        <v>23.6</v>
      </c>
      <c r="AI269">
        <v>708</v>
      </c>
      <c r="AL269">
        <v>0</v>
      </c>
      <c r="AM269">
        <v>708</v>
      </c>
      <c r="AP269">
        <v>26.9</v>
      </c>
      <c r="AQ269">
        <v>777</v>
      </c>
      <c r="AT269">
        <v>23.6</v>
      </c>
      <c r="AU269">
        <v>777</v>
      </c>
      <c r="AX269">
        <v>0</v>
      </c>
      <c r="AY269">
        <v>777</v>
      </c>
    </row>
    <row r="270" spans="1:51" x14ac:dyDescent="0.3">
      <c r="A270" s="1">
        <v>44830</v>
      </c>
      <c r="B270">
        <v>26.8</v>
      </c>
      <c r="C270">
        <v>22.6</v>
      </c>
      <c r="D270">
        <v>0</v>
      </c>
      <c r="E270">
        <f t="shared" si="12"/>
        <v>4</v>
      </c>
      <c r="F270">
        <f t="shared" si="13"/>
        <v>4</v>
      </c>
      <c r="G270">
        <f t="shared" si="14"/>
        <v>0</v>
      </c>
      <c r="V270" s="1">
        <v>44830</v>
      </c>
      <c r="W270">
        <v>26.8</v>
      </c>
      <c r="X270">
        <v>22.6</v>
      </c>
      <c r="Y270">
        <v>0</v>
      </c>
      <c r="Z270">
        <v>494</v>
      </c>
      <c r="AA270">
        <v>373</v>
      </c>
      <c r="AD270">
        <v>26.8</v>
      </c>
      <c r="AE270">
        <v>494</v>
      </c>
      <c r="AH270">
        <v>22.6</v>
      </c>
      <c r="AI270">
        <v>494</v>
      </c>
      <c r="AL270">
        <v>0</v>
      </c>
      <c r="AM270">
        <v>494</v>
      </c>
      <c r="AP270">
        <v>26.8</v>
      </c>
      <c r="AQ270">
        <v>373</v>
      </c>
      <c r="AT270">
        <v>22.6</v>
      </c>
      <c r="AU270">
        <v>373</v>
      </c>
      <c r="AX270">
        <v>0</v>
      </c>
      <c r="AY270">
        <v>373</v>
      </c>
    </row>
    <row r="271" spans="1:51" x14ac:dyDescent="0.3">
      <c r="A271" s="1">
        <v>44831</v>
      </c>
      <c r="B271">
        <v>25.6</v>
      </c>
      <c r="C271">
        <v>12.8</v>
      </c>
      <c r="D271">
        <v>0</v>
      </c>
      <c r="E271">
        <f t="shared" si="12"/>
        <v>4</v>
      </c>
      <c r="F271">
        <f t="shared" si="13"/>
        <v>4</v>
      </c>
      <c r="G271">
        <f t="shared" si="14"/>
        <v>0</v>
      </c>
      <c r="V271" s="1">
        <v>44831</v>
      </c>
      <c r="W271">
        <v>25.6</v>
      </c>
      <c r="X271">
        <v>12.8</v>
      </c>
      <c r="Y271">
        <v>0</v>
      </c>
      <c r="Z271">
        <v>578</v>
      </c>
      <c r="AA271">
        <v>514</v>
      </c>
      <c r="AD271">
        <v>25.6</v>
      </c>
      <c r="AE271">
        <v>578</v>
      </c>
      <c r="AH271">
        <v>12.8</v>
      </c>
      <c r="AI271">
        <v>578</v>
      </c>
      <c r="AL271">
        <v>0</v>
      </c>
      <c r="AM271">
        <v>578</v>
      </c>
      <c r="AP271">
        <v>25.6</v>
      </c>
      <c r="AQ271">
        <v>514</v>
      </c>
      <c r="AT271">
        <v>12.8</v>
      </c>
      <c r="AU271">
        <v>514</v>
      </c>
      <c r="AX271">
        <v>0</v>
      </c>
      <c r="AY271">
        <v>514</v>
      </c>
    </row>
    <row r="272" spans="1:51" x14ac:dyDescent="0.3">
      <c r="A272" s="1">
        <v>44832</v>
      </c>
      <c r="B272">
        <v>25.8</v>
      </c>
      <c r="C272">
        <v>14.8</v>
      </c>
      <c r="D272">
        <v>4.8</v>
      </c>
      <c r="E272">
        <f t="shared" si="12"/>
        <v>4</v>
      </c>
      <c r="F272">
        <f t="shared" si="13"/>
        <v>4</v>
      </c>
      <c r="G272">
        <f t="shared" si="14"/>
        <v>0</v>
      </c>
      <c r="V272" s="1">
        <v>44832</v>
      </c>
      <c r="W272">
        <v>25.8</v>
      </c>
      <c r="X272">
        <v>14.8</v>
      </c>
      <c r="Y272">
        <v>4.8</v>
      </c>
      <c r="Z272">
        <v>467</v>
      </c>
      <c r="AA272">
        <v>369</v>
      </c>
      <c r="AD272">
        <v>25.8</v>
      </c>
      <c r="AE272">
        <v>467</v>
      </c>
      <c r="AH272">
        <v>14.8</v>
      </c>
      <c r="AI272">
        <v>467</v>
      </c>
      <c r="AL272">
        <v>4.8</v>
      </c>
      <c r="AM272">
        <v>467</v>
      </c>
      <c r="AP272">
        <v>25.8</v>
      </c>
      <c r="AQ272">
        <v>369</v>
      </c>
      <c r="AT272">
        <v>14.8</v>
      </c>
      <c r="AU272">
        <v>369</v>
      </c>
      <c r="AX272">
        <v>4.8</v>
      </c>
      <c r="AY272">
        <v>369</v>
      </c>
    </row>
    <row r="273" spans="1:51" x14ac:dyDescent="0.3">
      <c r="A273" s="1">
        <v>44833</v>
      </c>
      <c r="B273">
        <v>22.6</v>
      </c>
      <c r="C273">
        <v>13.8</v>
      </c>
      <c r="D273">
        <v>0.2</v>
      </c>
      <c r="E273">
        <f t="shared" si="12"/>
        <v>4</v>
      </c>
      <c r="F273">
        <f t="shared" si="13"/>
        <v>4</v>
      </c>
      <c r="G273">
        <f t="shared" si="14"/>
        <v>0</v>
      </c>
      <c r="V273" s="1">
        <v>44833</v>
      </c>
      <c r="W273">
        <v>22.6</v>
      </c>
      <c r="X273">
        <v>13.8</v>
      </c>
      <c r="Y273">
        <v>0.2</v>
      </c>
      <c r="Z273">
        <v>753</v>
      </c>
      <c r="AA273">
        <v>444</v>
      </c>
      <c r="AD273">
        <v>22.6</v>
      </c>
      <c r="AE273">
        <v>753</v>
      </c>
      <c r="AH273">
        <v>13.8</v>
      </c>
      <c r="AI273">
        <v>753</v>
      </c>
      <c r="AL273">
        <v>0.2</v>
      </c>
      <c r="AM273">
        <v>753</v>
      </c>
      <c r="AP273">
        <v>22.6</v>
      </c>
      <c r="AQ273">
        <v>444</v>
      </c>
      <c r="AT273">
        <v>13.8</v>
      </c>
      <c r="AU273">
        <v>444</v>
      </c>
      <c r="AX273">
        <v>0.2</v>
      </c>
      <c r="AY273">
        <v>444</v>
      </c>
    </row>
    <row r="274" spans="1:51" x14ac:dyDescent="0.3">
      <c r="A274" s="1">
        <v>44834</v>
      </c>
      <c r="B274">
        <v>27.9</v>
      </c>
      <c r="C274">
        <v>23.6</v>
      </c>
      <c r="D274">
        <v>0</v>
      </c>
      <c r="E274">
        <f t="shared" si="12"/>
        <v>4</v>
      </c>
      <c r="F274">
        <f t="shared" si="13"/>
        <v>4</v>
      </c>
      <c r="G274">
        <f t="shared" si="14"/>
        <v>0</v>
      </c>
      <c r="V274" s="1">
        <v>44834</v>
      </c>
      <c r="W274">
        <v>27.9</v>
      </c>
      <c r="X274">
        <v>23.6</v>
      </c>
      <c r="Y274">
        <v>0</v>
      </c>
      <c r="Z274">
        <v>716</v>
      </c>
      <c r="AA274">
        <v>617</v>
      </c>
      <c r="AD274">
        <v>27.9</v>
      </c>
      <c r="AE274">
        <v>716</v>
      </c>
      <c r="AH274">
        <v>23.6</v>
      </c>
      <c r="AI274">
        <v>716</v>
      </c>
      <c r="AL274">
        <v>0</v>
      </c>
      <c r="AM274">
        <v>716</v>
      </c>
      <c r="AP274">
        <v>27.9</v>
      </c>
      <c r="AQ274">
        <v>617</v>
      </c>
      <c r="AT274">
        <v>23.6</v>
      </c>
      <c r="AU274">
        <v>617</v>
      </c>
      <c r="AX274">
        <v>0</v>
      </c>
      <c r="AY274">
        <v>617</v>
      </c>
    </row>
    <row r="275" spans="1:51" x14ac:dyDescent="0.3">
      <c r="A275" s="1">
        <v>44835</v>
      </c>
      <c r="B275">
        <v>22.7</v>
      </c>
      <c r="C275">
        <v>14.7</v>
      </c>
      <c r="D275">
        <v>0</v>
      </c>
      <c r="E275">
        <f t="shared" si="12"/>
        <v>4</v>
      </c>
      <c r="F275">
        <f t="shared" si="13"/>
        <v>4</v>
      </c>
      <c r="G275">
        <f t="shared" si="14"/>
        <v>0</v>
      </c>
      <c r="V275" s="1">
        <v>44835</v>
      </c>
      <c r="W275">
        <v>22.7</v>
      </c>
      <c r="X275">
        <v>14.7</v>
      </c>
      <c r="Y275">
        <v>0</v>
      </c>
      <c r="Z275">
        <v>643</v>
      </c>
      <c r="AA275">
        <v>696</v>
      </c>
      <c r="AD275">
        <v>22.7</v>
      </c>
      <c r="AE275">
        <v>643</v>
      </c>
      <c r="AH275">
        <v>14.7</v>
      </c>
      <c r="AI275">
        <v>643</v>
      </c>
      <c r="AL275">
        <v>0</v>
      </c>
      <c r="AM275">
        <v>643</v>
      </c>
      <c r="AP275">
        <v>22.7</v>
      </c>
      <c r="AQ275">
        <v>696</v>
      </c>
      <c r="AT275">
        <v>14.7</v>
      </c>
      <c r="AU275">
        <v>696</v>
      </c>
      <c r="AX275">
        <v>0</v>
      </c>
      <c r="AY275">
        <v>696</v>
      </c>
    </row>
    <row r="276" spans="1:51" x14ac:dyDescent="0.3">
      <c r="A276" s="1">
        <v>44836</v>
      </c>
      <c r="B276">
        <v>18.5</v>
      </c>
      <c r="C276">
        <v>10.1</v>
      </c>
      <c r="D276">
        <v>4.5999999999999996</v>
      </c>
      <c r="E276">
        <f t="shared" si="12"/>
        <v>4</v>
      </c>
      <c r="F276">
        <f t="shared" si="13"/>
        <v>4</v>
      </c>
      <c r="G276">
        <f t="shared" si="14"/>
        <v>0</v>
      </c>
      <c r="V276" s="1">
        <v>44836</v>
      </c>
      <c r="W276">
        <v>18.5</v>
      </c>
      <c r="X276">
        <v>10.1</v>
      </c>
      <c r="Y276">
        <v>4.5999999999999996</v>
      </c>
      <c r="Z276">
        <v>333</v>
      </c>
      <c r="AA276">
        <v>213</v>
      </c>
      <c r="AD276">
        <v>18.5</v>
      </c>
      <c r="AE276">
        <v>333</v>
      </c>
      <c r="AH276">
        <v>10.1</v>
      </c>
      <c r="AI276">
        <v>333</v>
      </c>
      <c r="AL276">
        <v>4.5999999999999996</v>
      </c>
      <c r="AM276">
        <v>333</v>
      </c>
      <c r="AP276">
        <v>18.5</v>
      </c>
      <c r="AQ276">
        <v>213</v>
      </c>
      <c r="AT276">
        <v>10.1</v>
      </c>
      <c r="AU276">
        <v>213</v>
      </c>
      <c r="AX276">
        <v>4.5999999999999996</v>
      </c>
      <c r="AY276">
        <v>213</v>
      </c>
    </row>
    <row r="277" spans="1:51" x14ac:dyDescent="0.3">
      <c r="A277" s="1">
        <v>44837</v>
      </c>
      <c r="B277">
        <v>22.9</v>
      </c>
      <c r="C277">
        <v>21.8</v>
      </c>
      <c r="D277">
        <v>1.4</v>
      </c>
      <c r="E277">
        <f t="shared" si="12"/>
        <v>4</v>
      </c>
      <c r="F277">
        <f t="shared" si="13"/>
        <v>4</v>
      </c>
      <c r="G277">
        <f t="shared" si="14"/>
        <v>0</v>
      </c>
      <c r="V277" s="1">
        <v>44837</v>
      </c>
      <c r="W277">
        <v>22.9</v>
      </c>
      <c r="X277">
        <v>21.8</v>
      </c>
      <c r="Y277">
        <v>1.4</v>
      </c>
      <c r="Z277">
        <v>875</v>
      </c>
      <c r="AA277">
        <v>803</v>
      </c>
      <c r="AD277">
        <v>22.9</v>
      </c>
      <c r="AE277">
        <v>875</v>
      </c>
      <c r="AH277">
        <v>21.8</v>
      </c>
      <c r="AI277">
        <v>875</v>
      </c>
      <c r="AL277">
        <v>1.4</v>
      </c>
      <c r="AM277">
        <v>875</v>
      </c>
      <c r="AP277">
        <v>22.9</v>
      </c>
      <c r="AQ277">
        <v>803</v>
      </c>
      <c r="AT277">
        <v>21.8</v>
      </c>
      <c r="AU277">
        <v>803</v>
      </c>
      <c r="AX277">
        <v>1.4</v>
      </c>
      <c r="AY277">
        <v>803</v>
      </c>
    </row>
    <row r="278" spans="1:51" x14ac:dyDescent="0.3">
      <c r="A278" s="1">
        <v>44838</v>
      </c>
      <c r="B278">
        <v>22.3</v>
      </c>
      <c r="C278">
        <v>17.100000000000001</v>
      </c>
      <c r="D278">
        <v>0</v>
      </c>
      <c r="E278">
        <f t="shared" si="12"/>
        <v>4</v>
      </c>
      <c r="F278">
        <f t="shared" si="13"/>
        <v>4</v>
      </c>
      <c r="G278">
        <f t="shared" si="14"/>
        <v>0</v>
      </c>
      <c r="V278" s="1">
        <v>44838</v>
      </c>
      <c r="W278">
        <v>22.3</v>
      </c>
      <c r="X278">
        <v>17.100000000000001</v>
      </c>
      <c r="Y278">
        <v>0</v>
      </c>
      <c r="Z278">
        <v>718</v>
      </c>
      <c r="AA278">
        <v>528</v>
      </c>
      <c r="AD278">
        <v>22.3</v>
      </c>
      <c r="AE278">
        <v>718</v>
      </c>
      <c r="AH278">
        <v>17.100000000000001</v>
      </c>
      <c r="AI278">
        <v>718</v>
      </c>
      <c r="AL278">
        <v>0</v>
      </c>
      <c r="AM278">
        <v>718</v>
      </c>
      <c r="AP278">
        <v>22.3</v>
      </c>
      <c r="AQ278">
        <v>528</v>
      </c>
      <c r="AT278">
        <v>17.100000000000001</v>
      </c>
      <c r="AU278">
        <v>528</v>
      </c>
      <c r="AX278">
        <v>0</v>
      </c>
      <c r="AY278">
        <v>528</v>
      </c>
    </row>
    <row r="279" spans="1:51" x14ac:dyDescent="0.3">
      <c r="A279" s="1">
        <v>44839</v>
      </c>
      <c r="B279">
        <v>24.1</v>
      </c>
      <c r="C279">
        <v>19.600000000000001</v>
      </c>
      <c r="D279">
        <v>0</v>
      </c>
      <c r="E279">
        <f t="shared" si="12"/>
        <v>4</v>
      </c>
      <c r="F279">
        <f t="shared" si="13"/>
        <v>4</v>
      </c>
      <c r="G279">
        <f t="shared" si="14"/>
        <v>0</v>
      </c>
      <c r="V279" s="1">
        <v>44839</v>
      </c>
      <c r="W279">
        <v>24.1</v>
      </c>
      <c r="X279">
        <v>19.600000000000001</v>
      </c>
      <c r="Y279">
        <v>0</v>
      </c>
      <c r="Z279">
        <v>788</v>
      </c>
      <c r="AA279">
        <v>675</v>
      </c>
      <c r="AD279">
        <v>24.1</v>
      </c>
      <c r="AE279">
        <v>788</v>
      </c>
      <c r="AH279">
        <v>19.600000000000001</v>
      </c>
      <c r="AI279">
        <v>788</v>
      </c>
      <c r="AL279">
        <v>0</v>
      </c>
      <c r="AM279">
        <v>788</v>
      </c>
      <c r="AP279">
        <v>24.1</v>
      </c>
      <c r="AQ279">
        <v>675</v>
      </c>
      <c r="AT279">
        <v>19.600000000000001</v>
      </c>
      <c r="AU279">
        <v>675</v>
      </c>
      <c r="AX279">
        <v>0</v>
      </c>
      <c r="AY279">
        <v>675</v>
      </c>
    </row>
    <row r="280" spans="1:51" x14ac:dyDescent="0.3">
      <c r="A280" s="1">
        <v>44840</v>
      </c>
      <c r="B280">
        <v>23.2</v>
      </c>
      <c r="C280">
        <v>9.6999999999999993</v>
      </c>
      <c r="D280">
        <v>0.8</v>
      </c>
      <c r="E280">
        <f t="shared" si="12"/>
        <v>4</v>
      </c>
      <c r="F280">
        <f t="shared" si="13"/>
        <v>4</v>
      </c>
      <c r="G280">
        <f t="shared" si="14"/>
        <v>0</v>
      </c>
      <c r="V280" s="1">
        <v>44840</v>
      </c>
      <c r="W280">
        <v>23.2</v>
      </c>
      <c r="X280">
        <v>9.6999999999999993</v>
      </c>
      <c r="Y280">
        <v>0.8</v>
      </c>
      <c r="Z280">
        <v>608</v>
      </c>
      <c r="AA280">
        <v>386</v>
      </c>
      <c r="AD280">
        <v>23.2</v>
      </c>
      <c r="AE280">
        <v>608</v>
      </c>
      <c r="AH280">
        <v>9.6999999999999993</v>
      </c>
      <c r="AI280">
        <v>608</v>
      </c>
      <c r="AL280">
        <v>0.8</v>
      </c>
      <c r="AM280">
        <v>608</v>
      </c>
      <c r="AP280">
        <v>23.2</v>
      </c>
      <c r="AQ280">
        <v>386</v>
      </c>
      <c r="AT280">
        <v>9.6999999999999993</v>
      </c>
      <c r="AU280">
        <v>386</v>
      </c>
      <c r="AX280">
        <v>0.8</v>
      </c>
      <c r="AY280">
        <v>386</v>
      </c>
    </row>
    <row r="281" spans="1:51" x14ac:dyDescent="0.3">
      <c r="A281" s="1">
        <v>44841</v>
      </c>
      <c r="B281">
        <v>24.5</v>
      </c>
      <c r="C281">
        <v>17.3</v>
      </c>
      <c r="D281">
        <v>0</v>
      </c>
      <c r="E281">
        <f t="shared" si="12"/>
        <v>4</v>
      </c>
      <c r="F281">
        <f t="shared" si="13"/>
        <v>4</v>
      </c>
      <c r="G281">
        <f t="shared" si="14"/>
        <v>0</v>
      </c>
      <c r="V281" s="1">
        <v>44841</v>
      </c>
      <c r="W281">
        <v>24.5</v>
      </c>
      <c r="X281">
        <v>17.3</v>
      </c>
      <c r="Y281">
        <v>0</v>
      </c>
      <c r="Z281">
        <v>825</v>
      </c>
      <c r="AA281">
        <v>675</v>
      </c>
      <c r="AD281">
        <v>24.5</v>
      </c>
      <c r="AE281">
        <v>825</v>
      </c>
      <c r="AH281">
        <v>17.3</v>
      </c>
      <c r="AI281">
        <v>825</v>
      </c>
      <c r="AL281">
        <v>0</v>
      </c>
      <c r="AM281">
        <v>825</v>
      </c>
      <c r="AP281">
        <v>24.5</v>
      </c>
      <c r="AQ281">
        <v>675</v>
      </c>
      <c r="AT281">
        <v>17.3</v>
      </c>
      <c r="AU281">
        <v>675</v>
      </c>
      <c r="AX281">
        <v>0</v>
      </c>
      <c r="AY281">
        <v>675</v>
      </c>
    </row>
    <row r="282" spans="1:51" x14ac:dyDescent="0.3">
      <c r="A282" s="1">
        <v>44842</v>
      </c>
      <c r="B282">
        <v>24.9</v>
      </c>
      <c r="C282">
        <v>18.7</v>
      </c>
      <c r="D282">
        <v>0</v>
      </c>
      <c r="E282">
        <f t="shared" si="12"/>
        <v>4</v>
      </c>
      <c r="F282">
        <f t="shared" si="13"/>
        <v>4</v>
      </c>
      <c r="G282">
        <f t="shared" si="14"/>
        <v>0</v>
      </c>
      <c r="V282" s="1">
        <v>44842</v>
      </c>
      <c r="W282">
        <v>24.9</v>
      </c>
      <c r="X282">
        <v>18.7</v>
      </c>
      <c r="Y282">
        <v>0</v>
      </c>
      <c r="Z282">
        <v>837</v>
      </c>
      <c r="AA282">
        <v>664</v>
      </c>
      <c r="AD282">
        <v>24.9</v>
      </c>
      <c r="AE282">
        <v>837</v>
      </c>
      <c r="AH282">
        <v>18.7</v>
      </c>
      <c r="AI282">
        <v>837</v>
      </c>
      <c r="AL282">
        <v>0</v>
      </c>
      <c r="AM282">
        <v>837</v>
      </c>
      <c r="AP282">
        <v>24.9</v>
      </c>
      <c r="AQ282">
        <v>664</v>
      </c>
      <c r="AT282">
        <v>18.7</v>
      </c>
      <c r="AU282">
        <v>664</v>
      </c>
      <c r="AX282">
        <v>0</v>
      </c>
      <c r="AY282">
        <v>664</v>
      </c>
    </row>
    <row r="283" spans="1:51" x14ac:dyDescent="0.3">
      <c r="A283" s="1">
        <v>44843</v>
      </c>
      <c r="B283">
        <v>27.2</v>
      </c>
      <c r="C283">
        <v>14.9</v>
      </c>
      <c r="D283">
        <v>5.6</v>
      </c>
      <c r="E283">
        <f t="shared" si="12"/>
        <v>4</v>
      </c>
      <c r="F283">
        <f t="shared" si="13"/>
        <v>4</v>
      </c>
      <c r="G283">
        <f t="shared" si="14"/>
        <v>0</v>
      </c>
      <c r="V283" s="1">
        <v>44843</v>
      </c>
      <c r="W283">
        <v>27.2</v>
      </c>
      <c r="X283">
        <v>14.9</v>
      </c>
      <c r="Y283">
        <v>5.6</v>
      </c>
      <c r="Z283">
        <v>465</v>
      </c>
      <c r="AA283">
        <v>307</v>
      </c>
      <c r="AD283">
        <v>27.2</v>
      </c>
      <c r="AE283">
        <v>465</v>
      </c>
      <c r="AH283">
        <v>14.9</v>
      </c>
      <c r="AI283">
        <v>465</v>
      </c>
      <c r="AL283">
        <v>5.6</v>
      </c>
      <c r="AM283">
        <v>465</v>
      </c>
      <c r="AP283">
        <v>27.2</v>
      </c>
      <c r="AQ283">
        <v>307</v>
      </c>
      <c r="AT283">
        <v>14.9</v>
      </c>
      <c r="AU283">
        <v>307</v>
      </c>
      <c r="AX283">
        <v>5.6</v>
      </c>
      <c r="AY283">
        <v>307</v>
      </c>
    </row>
    <row r="284" spans="1:51" x14ac:dyDescent="0.3">
      <c r="A284" s="1">
        <v>44844</v>
      </c>
      <c r="B284">
        <v>21.9</v>
      </c>
      <c r="C284">
        <v>10.8</v>
      </c>
      <c r="D284">
        <v>3</v>
      </c>
      <c r="E284">
        <f t="shared" si="12"/>
        <v>4</v>
      </c>
      <c r="F284">
        <f t="shared" si="13"/>
        <v>4</v>
      </c>
      <c r="G284">
        <f t="shared" si="14"/>
        <v>0</v>
      </c>
      <c r="V284" s="1">
        <v>44844</v>
      </c>
      <c r="W284">
        <v>21.9</v>
      </c>
      <c r="X284">
        <v>10.8</v>
      </c>
      <c r="Y284">
        <v>3</v>
      </c>
      <c r="Z284">
        <v>606</v>
      </c>
      <c r="AA284">
        <v>468</v>
      </c>
      <c r="AD284">
        <v>21.9</v>
      </c>
      <c r="AE284">
        <v>606</v>
      </c>
      <c r="AH284">
        <v>10.8</v>
      </c>
      <c r="AI284">
        <v>606</v>
      </c>
      <c r="AL284">
        <v>3</v>
      </c>
      <c r="AM284">
        <v>606</v>
      </c>
      <c r="AP284">
        <v>21.9</v>
      </c>
      <c r="AQ284">
        <v>468</v>
      </c>
      <c r="AT284">
        <v>10.8</v>
      </c>
      <c r="AU284">
        <v>468</v>
      </c>
      <c r="AX284">
        <v>3</v>
      </c>
      <c r="AY284">
        <v>468</v>
      </c>
    </row>
    <row r="285" spans="1:51" x14ac:dyDescent="0.3">
      <c r="A285" s="1">
        <v>44845</v>
      </c>
      <c r="B285">
        <v>23.6</v>
      </c>
      <c r="C285">
        <v>20.3</v>
      </c>
      <c r="D285">
        <v>0</v>
      </c>
      <c r="E285">
        <f t="shared" si="12"/>
        <v>4</v>
      </c>
      <c r="F285">
        <f t="shared" si="13"/>
        <v>4</v>
      </c>
      <c r="G285">
        <f t="shared" si="14"/>
        <v>0</v>
      </c>
      <c r="V285" s="1">
        <v>44845</v>
      </c>
      <c r="W285">
        <v>23.6</v>
      </c>
      <c r="X285">
        <v>20.3</v>
      </c>
      <c r="Y285">
        <v>0</v>
      </c>
      <c r="Z285">
        <v>795</v>
      </c>
      <c r="AA285">
        <v>686</v>
      </c>
      <c r="AD285">
        <v>23.6</v>
      </c>
      <c r="AE285">
        <v>795</v>
      </c>
      <c r="AH285">
        <v>20.3</v>
      </c>
      <c r="AI285">
        <v>795</v>
      </c>
      <c r="AL285">
        <v>0</v>
      </c>
      <c r="AM285">
        <v>795</v>
      </c>
      <c r="AP285">
        <v>23.6</v>
      </c>
      <c r="AQ285">
        <v>686</v>
      </c>
      <c r="AT285">
        <v>20.3</v>
      </c>
      <c r="AU285">
        <v>686</v>
      </c>
      <c r="AX285">
        <v>0</v>
      </c>
      <c r="AY285">
        <v>686</v>
      </c>
    </row>
    <row r="286" spans="1:51" x14ac:dyDescent="0.3">
      <c r="A286" s="1">
        <v>44846</v>
      </c>
      <c r="B286">
        <v>24.2</v>
      </c>
      <c r="C286">
        <v>18.899999999999999</v>
      </c>
      <c r="D286">
        <v>0</v>
      </c>
      <c r="E286">
        <f t="shared" si="12"/>
        <v>4</v>
      </c>
      <c r="F286">
        <f t="shared" si="13"/>
        <v>4</v>
      </c>
      <c r="G286">
        <f t="shared" si="14"/>
        <v>0</v>
      </c>
      <c r="V286" s="1">
        <v>44846</v>
      </c>
      <c r="W286">
        <v>24.2</v>
      </c>
      <c r="X286">
        <v>18.899999999999999</v>
      </c>
      <c r="Y286">
        <v>0</v>
      </c>
      <c r="Z286">
        <v>750</v>
      </c>
      <c r="AA286">
        <v>655</v>
      </c>
      <c r="AD286">
        <v>24.2</v>
      </c>
      <c r="AE286">
        <v>750</v>
      </c>
      <c r="AH286">
        <v>18.899999999999999</v>
      </c>
      <c r="AI286">
        <v>750</v>
      </c>
      <c r="AL286">
        <v>0</v>
      </c>
      <c r="AM286">
        <v>750</v>
      </c>
      <c r="AP286">
        <v>24.2</v>
      </c>
      <c r="AQ286">
        <v>655</v>
      </c>
      <c r="AT286">
        <v>18.899999999999999</v>
      </c>
      <c r="AU286">
        <v>655</v>
      </c>
      <c r="AX286">
        <v>0</v>
      </c>
      <c r="AY286">
        <v>655</v>
      </c>
    </row>
    <row r="287" spans="1:51" x14ac:dyDescent="0.3">
      <c r="A287" s="1">
        <v>44847</v>
      </c>
      <c r="B287">
        <v>25.9</v>
      </c>
      <c r="C287">
        <v>21.8</v>
      </c>
      <c r="D287">
        <v>0</v>
      </c>
      <c r="E287">
        <f t="shared" si="12"/>
        <v>4</v>
      </c>
      <c r="F287">
        <f t="shared" si="13"/>
        <v>4</v>
      </c>
      <c r="G287">
        <f t="shared" si="14"/>
        <v>0</v>
      </c>
      <c r="V287" s="1">
        <v>44847</v>
      </c>
      <c r="W287">
        <v>25.9</v>
      </c>
      <c r="X287">
        <v>21.8</v>
      </c>
      <c r="Y287">
        <v>0</v>
      </c>
      <c r="Z287">
        <v>903</v>
      </c>
      <c r="AA287">
        <v>608</v>
      </c>
      <c r="AD287">
        <v>25.9</v>
      </c>
      <c r="AE287">
        <v>903</v>
      </c>
      <c r="AH287">
        <v>21.8</v>
      </c>
      <c r="AI287">
        <v>903</v>
      </c>
      <c r="AL287">
        <v>0</v>
      </c>
      <c r="AM287">
        <v>903</v>
      </c>
      <c r="AP287">
        <v>25.9</v>
      </c>
      <c r="AQ287">
        <v>608</v>
      </c>
      <c r="AT287">
        <v>21.8</v>
      </c>
      <c r="AU287">
        <v>608</v>
      </c>
      <c r="AX287">
        <v>0</v>
      </c>
      <c r="AY287">
        <v>608</v>
      </c>
    </row>
    <row r="288" spans="1:51" x14ac:dyDescent="0.3">
      <c r="A288" s="1">
        <v>44848</v>
      </c>
      <c r="B288">
        <v>26.1</v>
      </c>
      <c r="C288">
        <v>18.2</v>
      </c>
      <c r="D288">
        <v>3.4</v>
      </c>
      <c r="E288">
        <f t="shared" si="12"/>
        <v>4</v>
      </c>
      <c r="F288">
        <f t="shared" si="13"/>
        <v>4</v>
      </c>
      <c r="G288">
        <f t="shared" si="14"/>
        <v>0</v>
      </c>
      <c r="V288" s="1">
        <v>44848</v>
      </c>
      <c r="W288">
        <v>26.1</v>
      </c>
      <c r="X288">
        <v>18.2</v>
      </c>
      <c r="Y288">
        <v>3.4</v>
      </c>
      <c r="Z288">
        <v>633</v>
      </c>
      <c r="AA288">
        <v>693</v>
      </c>
      <c r="AD288">
        <v>26.1</v>
      </c>
      <c r="AE288">
        <v>633</v>
      </c>
      <c r="AH288">
        <v>18.2</v>
      </c>
      <c r="AI288">
        <v>633</v>
      </c>
      <c r="AL288">
        <v>3.4</v>
      </c>
      <c r="AM288">
        <v>633</v>
      </c>
      <c r="AP288">
        <v>26.1</v>
      </c>
      <c r="AQ288">
        <v>693</v>
      </c>
      <c r="AT288">
        <v>18.2</v>
      </c>
      <c r="AU288">
        <v>693</v>
      </c>
      <c r="AX288">
        <v>3.4</v>
      </c>
      <c r="AY288">
        <v>693</v>
      </c>
    </row>
    <row r="289" spans="1:51" x14ac:dyDescent="0.3">
      <c r="A289" s="1">
        <v>44849</v>
      </c>
      <c r="B289">
        <v>26.2</v>
      </c>
      <c r="C289">
        <v>20.399999999999999</v>
      </c>
      <c r="D289">
        <v>0.2</v>
      </c>
      <c r="E289">
        <f t="shared" si="12"/>
        <v>4</v>
      </c>
      <c r="F289">
        <f t="shared" si="13"/>
        <v>4</v>
      </c>
      <c r="G289">
        <f t="shared" si="14"/>
        <v>0</v>
      </c>
      <c r="V289" s="1">
        <v>44849</v>
      </c>
      <c r="W289">
        <v>26.2</v>
      </c>
      <c r="X289">
        <v>20.399999999999999</v>
      </c>
      <c r="Y289">
        <v>0.2</v>
      </c>
      <c r="Z289">
        <v>691</v>
      </c>
      <c r="AA289">
        <v>732</v>
      </c>
      <c r="AD289">
        <v>26.2</v>
      </c>
      <c r="AE289">
        <v>691</v>
      </c>
      <c r="AH289">
        <v>20.399999999999999</v>
      </c>
      <c r="AI289">
        <v>691</v>
      </c>
      <c r="AL289">
        <v>0.2</v>
      </c>
      <c r="AM289">
        <v>691</v>
      </c>
      <c r="AP289">
        <v>26.2</v>
      </c>
      <c r="AQ289">
        <v>732</v>
      </c>
      <c r="AT289">
        <v>20.399999999999999</v>
      </c>
      <c r="AU289">
        <v>732</v>
      </c>
      <c r="AX289">
        <v>0.2</v>
      </c>
      <c r="AY289">
        <v>732</v>
      </c>
    </row>
    <row r="290" spans="1:51" x14ac:dyDescent="0.3">
      <c r="A290" s="1">
        <v>44850</v>
      </c>
      <c r="B290">
        <v>25.1</v>
      </c>
      <c r="C290">
        <v>17.100000000000001</v>
      </c>
      <c r="D290">
        <v>0</v>
      </c>
      <c r="E290">
        <f t="shared" si="12"/>
        <v>4</v>
      </c>
      <c r="F290">
        <f t="shared" si="13"/>
        <v>4</v>
      </c>
      <c r="G290">
        <f t="shared" si="14"/>
        <v>0</v>
      </c>
      <c r="V290" s="1">
        <v>44850</v>
      </c>
      <c r="W290">
        <v>25.1</v>
      </c>
      <c r="X290">
        <v>17.100000000000001</v>
      </c>
      <c r="Y290">
        <v>0</v>
      </c>
      <c r="Z290">
        <v>689</v>
      </c>
      <c r="AA290">
        <v>886</v>
      </c>
      <c r="AD290">
        <v>25.1</v>
      </c>
      <c r="AE290">
        <v>689</v>
      </c>
      <c r="AH290">
        <v>17.100000000000001</v>
      </c>
      <c r="AI290">
        <v>689</v>
      </c>
      <c r="AL290">
        <v>0</v>
      </c>
      <c r="AM290">
        <v>689</v>
      </c>
      <c r="AP290">
        <v>25.1</v>
      </c>
      <c r="AQ290">
        <v>886</v>
      </c>
      <c r="AT290">
        <v>17.100000000000001</v>
      </c>
      <c r="AU290">
        <v>886</v>
      </c>
      <c r="AX290">
        <v>0</v>
      </c>
      <c r="AY290">
        <v>886</v>
      </c>
    </row>
    <row r="291" spans="1:51" x14ac:dyDescent="0.3">
      <c r="A291" s="1">
        <v>44851</v>
      </c>
      <c r="B291">
        <v>24.6</v>
      </c>
      <c r="C291">
        <v>13.5</v>
      </c>
      <c r="D291">
        <v>0.8</v>
      </c>
      <c r="E291">
        <f t="shared" si="12"/>
        <v>4</v>
      </c>
      <c r="F291">
        <f t="shared" si="13"/>
        <v>4</v>
      </c>
      <c r="G291">
        <f t="shared" si="14"/>
        <v>0</v>
      </c>
      <c r="V291" s="1">
        <v>44851</v>
      </c>
      <c r="W291">
        <v>24.6</v>
      </c>
      <c r="X291">
        <v>13.5</v>
      </c>
      <c r="Y291">
        <v>0.8</v>
      </c>
      <c r="Z291">
        <v>593</v>
      </c>
      <c r="AA291">
        <v>447</v>
      </c>
      <c r="AD291">
        <v>24.6</v>
      </c>
      <c r="AE291">
        <v>593</v>
      </c>
      <c r="AH291">
        <v>13.5</v>
      </c>
      <c r="AI291">
        <v>593</v>
      </c>
      <c r="AL291">
        <v>0.8</v>
      </c>
      <c r="AM291">
        <v>593</v>
      </c>
      <c r="AP291">
        <v>24.6</v>
      </c>
      <c r="AQ291">
        <v>447</v>
      </c>
      <c r="AT291">
        <v>13.5</v>
      </c>
      <c r="AU291">
        <v>447</v>
      </c>
      <c r="AX291">
        <v>0.8</v>
      </c>
      <c r="AY291">
        <v>447</v>
      </c>
    </row>
    <row r="292" spans="1:51" x14ac:dyDescent="0.3">
      <c r="A292" s="1">
        <v>44852</v>
      </c>
      <c r="B292">
        <v>25.8</v>
      </c>
      <c r="C292">
        <v>18.2</v>
      </c>
      <c r="D292">
        <v>0.2</v>
      </c>
      <c r="E292">
        <f t="shared" si="12"/>
        <v>4</v>
      </c>
      <c r="F292">
        <f t="shared" si="13"/>
        <v>4</v>
      </c>
      <c r="G292">
        <f t="shared" si="14"/>
        <v>0</v>
      </c>
      <c r="V292" s="1">
        <v>44852</v>
      </c>
      <c r="W292">
        <v>25.8</v>
      </c>
      <c r="X292">
        <v>18.2</v>
      </c>
      <c r="Y292">
        <v>0.2</v>
      </c>
      <c r="Z292">
        <v>787</v>
      </c>
      <c r="AA292">
        <v>607</v>
      </c>
      <c r="AD292">
        <v>25.8</v>
      </c>
      <c r="AE292">
        <v>787</v>
      </c>
      <c r="AH292">
        <v>18.2</v>
      </c>
      <c r="AI292">
        <v>787</v>
      </c>
      <c r="AL292">
        <v>0.2</v>
      </c>
      <c r="AM292">
        <v>787</v>
      </c>
      <c r="AP292">
        <v>25.8</v>
      </c>
      <c r="AQ292">
        <v>607</v>
      </c>
      <c r="AT292">
        <v>18.2</v>
      </c>
      <c r="AU292">
        <v>607</v>
      </c>
      <c r="AX292">
        <v>0.2</v>
      </c>
      <c r="AY292">
        <v>607</v>
      </c>
    </row>
    <row r="293" spans="1:51" x14ac:dyDescent="0.3">
      <c r="A293" s="1">
        <v>44853</v>
      </c>
      <c r="B293">
        <v>23.2</v>
      </c>
      <c r="C293">
        <f>2*7.8</f>
        <v>15.6</v>
      </c>
      <c r="D293">
        <v>0</v>
      </c>
      <c r="E293">
        <f t="shared" si="12"/>
        <v>4</v>
      </c>
      <c r="F293">
        <f t="shared" si="13"/>
        <v>4</v>
      </c>
      <c r="G293">
        <f t="shared" si="14"/>
        <v>0</v>
      </c>
      <c r="V293" s="1">
        <v>44853</v>
      </c>
      <c r="W293">
        <v>23.2</v>
      </c>
      <c r="X293">
        <f>2*7.8</f>
        <v>15.6</v>
      </c>
      <c r="Y293">
        <v>0</v>
      </c>
      <c r="Z293">
        <v>470</v>
      </c>
      <c r="AA293">
        <v>408</v>
      </c>
      <c r="AD293">
        <v>23.2</v>
      </c>
      <c r="AE293">
        <v>470</v>
      </c>
      <c r="AH293">
        <f>2*7.8</f>
        <v>15.6</v>
      </c>
      <c r="AI293">
        <v>470</v>
      </c>
      <c r="AL293">
        <v>0</v>
      </c>
      <c r="AM293">
        <v>470</v>
      </c>
      <c r="AP293">
        <v>23.2</v>
      </c>
      <c r="AQ293">
        <v>408</v>
      </c>
      <c r="AT293">
        <f>2*7.8</f>
        <v>15.6</v>
      </c>
      <c r="AU293">
        <v>408</v>
      </c>
      <c r="AX293">
        <v>0</v>
      </c>
      <c r="AY293">
        <v>408</v>
      </c>
    </row>
    <row r="294" spans="1:51" x14ac:dyDescent="0.3">
      <c r="A294" s="1">
        <v>44854</v>
      </c>
      <c r="B294">
        <v>24.4</v>
      </c>
      <c r="C294">
        <f>2*9.9</f>
        <v>19.8</v>
      </c>
      <c r="D294">
        <v>19.399999999999999</v>
      </c>
      <c r="E294">
        <f t="shared" si="12"/>
        <v>4</v>
      </c>
      <c r="F294">
        <f t="shared" si="13"/>
        <v>4</v>
      </c>
      <c r="G294">
        <f t="shared" si="14"/>
        <v>0</v>
      </c>
      <c r="V294" s="1">
        <v>44854</v>
      </c>
      <c r="W294">
        <v>24.4</v>
      </c>
      <c r="X294">
        <f>2*9.9</f>
        <v>19.8</v>
      </c>
      <c r="Y294">
        <v>19.399999999999999</v>
      </c>
      <c r="Z294">
        <v>414</v>
      </c>
      <c r="AA294">
        <v>252</v>
      </c>
      <c r="AD294">
        <v>24.4</v>
      </c>
      <c r="AE294">
        <v>414</v>
      </c>
      <c r="AH294">
        <f>2*9.9</f>
        <v>19.8</v>
      </c>
      <c r="AI294">
        <v>414</v>
      </c>
      <c r="AL294">
        <v>19.399999999999999</v>
      </c>
      <c r="AM294">
        <v>414</v>
      </c>
      <c r="AP294">
        <v>24.4</v>
      </c>
      <c r="AQ294">
        <v>252</v>
      </c>
      <c r="AT294">
        <f>2*9.9</f>
        <v>19.8</v>
      </c>
      <c r="AU294">
        <v>252</v>
      </c>
      <c r="AX294">
        <v>19.399999999999999</v>
      </c>
      <c r="AY294">
        <v>252</v>
      </c>
    </row>
    <row r="295" spans="1:51" x14ac:dyDescent="0.3">
      <c r="A295" s="1">
        <v>44855</v>
      </c>
      <c r="B295">
        <v>24.3</v>
      </c>
      <c r="C295">
        <f>2*9.1</f>
        <v>18.2</v>
      </c>
      <c r="D295">
        <v>2.8</v>
      </c>
      <c r="E295">
        <f t="shared" si="12"/>
        <v>4</v>
      </c>
      <c r="F295">
        <f t="shared" si="13"/>
        <v>4</v>
      </c>
      <c r="G295">
        <f t="shared" si="14"/>
        <v>0</v>
      </c>
      <c r="V295" s="1">
        <v>44855</v>
      </c>
      <c r="W295">
        <v>24.3</v>
      </c>
      <c r="X295">
        <f>2*9.1</f>
        <v>18.2</v>
      </c>
      <c r="Y295">
        <v>2.8</v>
      </c>
      <c r="Z295">
        <v>322</v>
      </c>
      <c r="AA295">
        <v>330</v>
      </c>
      <c r="AD295">
        <v>24.3</v>
      </c>
      <c r="AE295">
        <v>322</v>
      </c>
      <c r="AH295">
        <f>2*9.1</f>
        <v>18.2</v>
      </c>
      <c r="AI295">
        <v>322</v>
      </c>
      <c r="AL295">
        <v>2.8</v>
      </c>
      <c r="AM295">
        <v>322</v>
      </c>
      <c r="AP295">
        <v>24.3</v>
      </c>
      <c r="AQ295">
        <v>330</v>
      </c>
      <c r="AT295">
        <f>2*9.1</f>
        <v>18.2</v>
      </c>
      <c r="AU295">
        <v>330</v>
      </c>
      <c r="AX295">
        <v>2.8</v>
      </c>
      <c r="AY295">
        <v>330</v>
      </c>
    </row>
    <row r="296" spans="1:51" x14ac:dyDescent="0.3">
      <c r="A296" s="1">
        <v>44856</v>
      </c>
      <c r="B296">
        <v>22.1</v>
      </c>
      <c r="C296">
        <f>2*7</f>
        <v>14</v>
      </c>
      <c r="D296">
        <v>16.399999999999999</v>
      </c>
      <c r="E296">
        <f t="shared" si="12"/>
        <v>4</v>
      </c>
      <c r="F296">
        <f t="shared" si="13"/>
        <v>4</v>
      </c>
      <c r="G296">
        <f t="shared" si="14"/>
        <v>0</v>
      </c>
      <c r="V296" s="1">
        <v>44856</v>
      </c>
      <c r="W296">
        <v>22.1</v>
      </c>
      <c r="X296">
        <f>2*7</f>
        <v>14</v>
      </c>
      <c r="Y296">
        <v>16.399999999999999</v>
      </c>
      <c r="Z296">
        <v>197</v>
      </c>
      <c r="AA296">
        <v>120</v>
      </c>
      <c r="AD296">
        <v>22.1</v>
      </c>
      <c r="AE296">
        <v>197</v>
      </c>
      <c r="AH296">
        <f>2*7</f>
        <v>14</v>
      </c>
      <c r="AI296">
        <v>197</v>
      </c>
      <c r="AL296">
        <v>16.399999999999999</v>
      </c>
      <c r="AM296">
        <v>197</v>
      </c>
      <c r="AP296">
        <v>22.1</v>
      </c>
      <c r="AQ296">
        <v>120</v>
      </c>
      <c r="AT296">
        <f>2*7</f>
        <v>14</v>
      </c>
      <c r="AU296">
        <v>120</v>
      </c>
      <c r="AX296">
        <v>16.399999999999999</v>
      </c>
      <c r="AY296">
        <v>120</v>
      </c>
    </row>
    <row r="297" spans="1:51" x14ac:dyDescent="0.3">
      <c r="A297" s="1">
        <v>44857</v>
      </c>
      <c r="B297">
        <v>25.1</v>
      </c>
      <c r="C297">
        <v>10.3</v>
      </c>
      <c r="D297">
        <v>45.2</v>
      </c>
      <c r="E297">
        <f t="shared" si="12"/>
        <v>4</v>
      </c>
      <c r="F297">
        <f t="shared" si="13"/>
        <v>4</v>
      </c>
      <c r="G297">
        <f t="shared" si="14"/>
        <v>0</v>
      </c>
      <c r="V297" s="1">
        <v>44857</v>
      </c>
      <c r="W297">
        <v>25.1</v>
      </c>
      <c r="X297">
        <v>10.3</v>
      </c>
      <c r="Y297">
        <v>45.2</v>
      </c>
      <c r="Z297">
        <v>152</v>
      </c>
      <c r="AA297">
        <v>42</v>
      </c>
      <c r="AD297">
        <v>25.1</v>
      </c>
      <c r="AE297">
        <v>152</v>
      </c>
      <c r="AH297">
        <v>10.3</v>
      </c>
      <c r="AI297">
        <v>152</v>
      </c>
      <c r="AL297">
        <v>45.2</v>
      </c>
      <c r="AM297">
        <v>152</v>
      </c>
      <c r="AP297">
        <v>25.1</v>
      </c>
      <c r="AQ297">
        <v>42</v>
      </c>
      <c r="AT297">
        <v>10.3</v>
      </c>
      <c r="AU297">
        <v>42</v>
      </c>
      <c r="AX297">
        <v>45.2</v>
      </c>
      <c r="AY297">
        <v>42</v>
      </c>
    </row>
    <row r="298" spans="1:51" x14ac:dyDescent="0.3">
      <c r="A298" s="1">
        <v>44858</v>
      </c>
      <c r="B298">
        <v>31.3</v>
      </c>
      <c r="C298">
        <v>26.3</v>
      </c>
      <c r="D298">
        <v>2.8</v>
      </c>
      <c r="E298">
        <f t="shared" si="12"/>
        <v>4</v>
      </c>
      <c r="F298">
        <f t="shared" si="13"/>
        <v>4</v>
      </c>
      <c r="G298">
        <f t="shared" si="14"/>
        <v>0</v>
      </c>
      <c r="V298" s="1">
        <v>44858</v>
      </c>
      <c r="W298">
        <v>31.3</v>
      </c>
      <c r="X298">
        <v>26.3</v>
      </c>
      <c r="Y298">
        <v>2.8</v>
      </c>
      <c r="Z298">
        <v>563</v>
      </c>
      <c r="AA298">
        <v>511</v>
      </c>
      <c r="AD298">
        <v>31.3</v>
      </c>
      <c r="AE298">
        <v>563</v>
      </c>
      <c r="AH298">
        <v>26.3</v>
      </c>
      <c r="AI298">
        <v>563</v>
      </c>
      <c r="AL298">
        <v>2.8</v>
      </c>
      <c r="AM298">
        <v>563</v>
      </c>
      <c r="AP298">
        <v>31.3</v>
      </c>
      <c r="AQ298">
        <v>511</v>
      </c>
      <c r="AT298">
        <v>26.3</v>
      </c>
      <c r="AU298">
        <v>511</v>
      </c>
      <c r="AX298">
        <v>2.8</v>
      </c>
      <c r="AY298">
        <v>511</v>
      </c>
    </row>
    <row r="299" spans="1:51" x14ac:dyDescent="0.3">
      <c r="A299" s="1">
        <v>44859</v>
      </c>
      <c r="B299">
        <v>29.4</v>
      </c>
      <c r="C299">
        <v>15.8</v>
      </c>
      <c r="D299">
        <v>7.4</v>
      </c>
      <c r="E299">
        <f t="shared" si="12"/>
        <v>4</v>
      </c>
      <c r="F299">
        <f t="shared" si="13"/>
        <v>4</v>
      </c>
      <c r="G299">
        <f t="shared" si="14"/>
        <v>0</v>
      </c>
      <c r="V299" s="1">
        <v>44859</v>
      </c>
      <c r="W299">
        <v>29.4</v>
      </c>
      <c r="X299">
        <v>15.8</v>
      </c>
      <c r="Y299">
        <v>7.4</v>
      </c>
      <c r="Z299">
        <v>387</v>
      </c>
      <c r="AA299">
        <v>242</v>
      </c>
      <c r="AD299">
        <v>29.4</v>
      </c>
      <c r="AE299">
        <v>387</v>
      </c>
      <c r="AH299">
        <v>15.8</v>
      </c>
      <c r="AI299">
        <v>387</v>
      </c>
      <c r="AL299">
        <v>7.4</v>
      </c>
      <c r="AM299">
        <v>387</v>
      </c>
      <c r="AP299">
        <v>29.4</v>
      </c>
      <c r="AQ299">
        <v>242</v>
      </c>
      <c r="AT299">
        <v>15.8</v>
      </c>
      <c r="AU299">
        <v>242</v>
      </c>
      <c r="AX299">
        <v>7.4</v>
      </c>
      <c r="AY299">
        <v>242</v>
      </c>
    </row>
    <row r="300" spans="1:51" x14ac:dyDescent="0.3">
      <c r="A300" s="1">
        <v>44860</v>
      </c>
      <c r="B300">
        <v>32.4</v>
      </c>
      <c r="C300">
        <v>26.7</v>
      </c>
      <c r="D300">
        <v>3.4</v>
      </c>
      <c r="E300">
        <f t="shared" si="12"/>
        <v>4</v>
      </c>
      <c r="F300">
        <f t="shared" si="13"/>
        <v>4</v>
      </c>
      <c r="G300">
        <f t="shared" si="14"/>
        <v>0</v>
      </c>
      <c r="V300" s="1">
        <v>44860</v>
      </c>
      <c r="W300">
        <v>32.4</v>
      </c>
      <c r="X300">
        <v>26.7</v>
      </c>
      <c r="Y300">
        <v>3.4</v>
      </c>
      <c r="Z300">
        <v>647</v>
      </c>
      <c r="AA300">
        <v>727</v>
      </c>
      <c r="AD300">
        <v>32.4</v>
      </c>
      <c r="AE300">
        <v>647</v>
      </c>
      <c r="AH300">
        <v>26.7</v>
      </c>
      <c r="AI300">
        <v>647</v>
      </c>
      <c r="AL300">
        <v>3.4</v>
      </c>
      <c r="AM300">
        <v>647</v>
      </c>
      <c r="AP300">
        <v>32.4</v>
      </c>
      <c r="AQ300">
        <v>727</v>
      </c>
      <c r="AT300">
        <v>26.7</v>
      </c>
      <c r="AU300">
        <v>727</v>
      </c>
      <c r="AX300">
        <v>3.4</v>
      </c>
      <c r="AY300">
        <v>727</v>
      </c>
    </row>
    <row r="301" spans="1:51" x14ac:dyDescent="0.3">
      <c r="A301" s="1">
        <v>44861</v>
      </c>
      <c r="B301">
        <v>34.299999999999997</v>
      </c>
      <c r="C301">
        <v>23.2</v>
      </c>
      <c r="D301">
        <v>0</v>
      </c>
      <c r="E301">
        <f t="shared" si="12"/>
        <v>4</v>
      </c>
      <c r="F301">
        <f t="shared" si="13"/>
        <v>4</v>
      </c>
      <c r="G301">
        <f t="shared" si="14"/>
        <v>0</v>
      </c>
      <c r="V301" s="1">
        <v>44861</v>
      </c>
      <c r="W301">
        <v>34.299999999999997</v>
      </c>
      <c r="X301">
        <v>23.2</v>
      </c>
      <c r="Y301">
        <v>0</v>
      </c>
      <c r="Z301">
        <v>593</v>
      </c>
      <c r="AA301">
        <v>559</v>
      </c>
      <c r="AD301">
        <v>34.299999999999997</v>
      </c>
      <c r="AE301">
        <v>593</v>
      </c>
      <c r="AH301">
        <v>23.2</v>
      </c>
      <c r="AI301">
        <v>593</v>
      </c>
      <c r="AL301">
        <v>0</v>
      </c>
      <c r="AM301">
        <v>593</v>
      </c>
      <c r="AP301">
        <v>34.299999999999997</v>
      </c>
      <c r="AQ301">
        <v>559</v>
      </c>
      <c r="AT301">
        <v>23.2</v>
      </c>
      <c r="AU301">
        <v>559</v>
      </c>
      <c r="AX301">
        <v>0</v>
      </c>
      <c r="AY301">
        <v>559</v>
      </c>
    </row>
    <row r="302" spans="1:51" x14ac:dyDescent="0.3">
      <c r="A302" s="1">
        <v>44862</v>
      </c>
      <c r="B302">
        <v>31.6</v>
      </c>
      <c r="C302">
        <v>28.2</v>
      </c>
      <c r="D302">
        <v>1.6</v>
      </c>
      <c r="E302">
        <f t="shared" si="12"/>
        <v>4</v>
      </c>
      <c r="F302">
        <f t="shared" si="13"/>
        <v>4</v>
      </c>
      <c r="G302">
        <f t="shared" si="14"/>
        <v>0</v>
      </c>
      <c r="V302" s="1">
        <v>44862</v>
      </c>
      <c r="W302">
        <v>31.6</v>
      </c>
      <c r="X302">
        <v>28.2</v>
      </c>
      <c r="Y302">
        <v>1.6</v>
      </c>
      <c r="Z302">
        <v>508</v>
      </c>
      <c r="AA302">
        <v>668</v>
      </c>
      <c r="AD302">
        <v>31.6</v>
      </c>
      <c r="AE302">
        <v>508</v>
      </c>
      <c r="AH302">
        <v>28.2</v>
      </c>
      <c r="AI302">
        <v>508</v>
      </c>
      <c r="AL302">
        <v>1.6</v>
      </c>
      <c r="AM302">
        <v>508</v>
      </c>
      <c r="AP302">
        <v>31.6</v>
      </c>
      <c r="AQ302">
        <v>668</v>
      </c>
      <c r="AT302">
        <v>28.2</v>
      </c>
      <c r="AU302">
        <v>668</v>
      </c>
      <c r="AX302">
        <v>1.6</v>
      </c>
      <c r="AY302">
        <v>668</v>
      </c>
    </row>
    <row r="303" spans="1:51" x14ac:dyDescent="0.3">
      <c r="A303" s="1">
        <v>44863</v>
      </c>
      <c r="B303">
        <v>30.7</v>
      </c>
      <c r="C303">
        <v>28.3</v>
      </c>
      <c r="D303">
        <v>0</v>
      </c>
      <c r="E303">
        <f t="shared" si="12"/>
        <v>4</v>
      </c>
      <c r="F303">
        <f t="shared" si="13"/>
        <v>4</v>
      </c>
      <c r="G303">
        <f t="shared" si="14"/>
        <v>0</v>
      </c>
      <c r="V303" s="1">
        <v>44863</v>
      </c>
      <c r="W303">
        <v>30.7</v>
      </c>
      <c r="X303">
        <v>28.3</v>
      </c>
      <c r="Y303">
        <v>0</v>
      </c>
      <c r="Z303">
        <v>517</v>
      </c>
      <c r="AA303">
        <v>686</v>
      </c>
      <c r="AD303">
        <v>30.7</v>
      </c>
      <c r="AE303">
        <v>517</v>
      </c>
      <c r="AH303">
        <v>28.3</v>
      </c>
      <c r="AI303">
        <v>517</v>
      </c>
      <c r="AL303">
        <v>0</v>
      </c>
      <c r="AM303">
        <v>517</v>
      </c>
      <c r="AP303">
        <v>30.7</v>
      </c>
      <c r="AQ303">
        <v>686</v>
      </c>
      <c r="AT303">
        <v>28.3</v>
      </c>
      <c r="AU303">
        <v>686</v>
      </c>
      <c r="AX303">
        <v>0</v>
      </c>
      <c r="AY303">
        <v>686</v>
      </c>
    </row>
    <row r="304" spans="1:51" x14ac:dyDescent="0.3">
      <c r="A304" s="1">
        <v>44864</v>
      </c>
      <c r="B304">
        <v>30.1</v>
      </c>
      <c r="C304">
        <v>28.5</v>
      </c>
      <c r="D304">
        <v>0</v>
      </c>
      <c r="E304">
        <f t="shared" si="12"/>
        <v>4</v>
      </c>
      <c r="F304">
        <f t="shared" si="13"/>
        <v>4</v>
      </c>
      <c r="G304">
        <f t="shared" si="14"/>
        <v>0</v>
      </c>
      <c r="V304" s="1">
        <v>44864</v>
      </c>
      <c r="W304">
        <v>30.1</v>
      </c>
      <c r="X304">
        <v>28.5</v>
      </c>
      <c r="Y304">
        <v>0</v>
      </c>
      <c r="Z304">
        <v>485</v>
      </c>
      <c r="AA304">
        <v>611</v>
      </c>
      <c r="AD304">
        <v>30.1</v>
      </c>
      <c r="AE304">
        <v>485</v>
      </c>
      <c r="AH304">
        <v>28.5</v>
      </c>
      <c r="AI304">
        <v>485</v>
      </c>
      <c r="AL304">
        <v>0</v>
      </c>
      <c r="AM304">
        <v>485</v>
      </c>
      <c r="AP304">
        <v>30.1</v>
      </c>
      <c r="AQ304">
        <v>611</v>
      </c>
      <c r="AT304">
        <v>28.5</v>
      </c>
      <c r="AU304">
        <v>611</v>
      </c>
      <c r="AX304">
        <v>0</v>
      </c>
      <c r="AY304">
        <v>611</v>
      </c>
    </row>
    <row r="305" spans="1:51" x14ac:dyDescent="0.3">
      <c r="A305" s="1">
        <v>44865</v>
      </c>
      <c r="B305">
        <v>28.1</v>
      </c>
      <c r="C305">
        <v>23</v>
      </c>
      <c r="D305">
        <v>0</v>
      </c>
      <c r="E305">
        <f t="shared" si="12"/>
        <v>4</v>
      </c>
      <c r="F305">
        <f t="shared" si="13"/>
        <v>4</v>
      </c>
      <c r="G305">
        <f t="shared" si="14"/>
        <v>0</v>
      </c>
      <c r="V305" s="1">
        <v>44865</v>
      </c>
      <c r="W305">
        <v>28.1</v>
      </c>
      <c r="X305">
        <v>23</v>
      </c>
      <c r="Y305">
        <v>0</v>
      </c>
      <c r="Z305">
        <v>544</v>
      </c>
      <c r="AA305">
        <v>470</v>
      </c>
      <c r="AD305">
        <v>28.1</v>
      </c>
      <c r="AE305">
        <v>544</v>
      </c>
      <c r="AH305">
        <v>23</v>
      </c>
      <c r="AI305">
        <v>544</v>
      </c>
      <c r="AL305">
        <v>0</v>
      </c>
      <c r="AM305">
        <v>544</v>
      </c>
      <c r="AP305">
        <v>28.1</v>
      </c>
      <c r="AQ305">
        <v>470</v>
      </c>
      <c r="AT305">
        <v>23</v>
      </c>
      <c r="AU305">
        <v>470</v>
      </c>
      <c r="AX305">
        <v>0</v>
      </c>
      <c r="AY305">
        <v>470</v>
      </c>
    </row>
    <row r="306" spans="1:51" x14ac:dyDescent="0.3">
      <c r="A306" s="1">
        <v>44866</v>
      </c>
      <c r="B306">
        <v>26</v>
      </c>
      <c r="C306">
        <v>10.6</v>
      </c>
      <c r="D306">
        <v>7.8</v>
      </c>
      <c r="E306">
        <f t="shared" si="12"/>
        <v>4</v>
      </c>
      <c r="F306">
        <f t="shared" si="13"/>
        <v>4</v>
      </c>
      <c r="G306">
        <f t="shared" si="14"/>
        <v>0</v>
      </c>
      <c r="V306" s="1">
        <v>44866</v>
      </c>
      <c r="W306">
        <v>26</v>
      </c>
      <c r="X306">
        <v>10.6</v>
      </c>
      <c r="Y306">
        <v>7.8</v>
      </c>
      <c r="Z306">
        <v>314</v>
      </c>
      <c r="AA306">
        <v>135</v>
      </c>
      <c r="AD306">
        <v>26</v>
      </c>
      <c r="AE306">
        <v>314</v>
      </c>
      <c r="AH306">
        <v>10.6</v>
      </c>
      <c r="AI306">
        <v>314</v>
      </c>
      <c r="AL306">
        <v>7.8</v>
      </c>
      <c r="AM306">
        <v>314</v>
      </c>
      <c r="AP306">
        <v>26</v>
      </c>
      <c r="AQ306">
        <v>135</v>
      </c>
      <c r="AT306">
        <v>10.6</v>
      </c>
      <c r="AU306">
        <v>135</v>
      </c>
      <c r="AX306">
        <v>7.8</v>
      </c>
      <c r="AY306">
        <v>135</v>
      </c>
    </row>
    <row r="307" spans="1:51" x14ac:dyDescent="0.3">
      <c r="A307" s="1">
        <v>44867</v>
      </c>
      <c r="B307">
        <v>23.7</v>
      </c>
      <c r="C307">
        <v>28.8</v>
      </c>
      <c r="D307">
        <v>4</v>
      </c>
      <c r="E307">
        <f t="shared" si="12"/>
        <v>4</v>
      </c>
      <c r="F307">
        <f t="shared" si="13"/>
        <v>4</v>
      </c>
      <c r="G307">
        <f t="shared" si="14"/>
        <v>0</v>
      </c>
      <c r="V307" s="1">
        <v>44867</v>
      </c>
      <c r="W307">
        <v>23.7</v>
      </c>
      <c r="X307">
        <v>28.8</v>
      </c>
      <c r="Y307">
        <v>4</v>
      </c>
      <c r="Z307">
        <v>786</v>
      </c>
      <c r="AA307">
        <v>588</v>
      </c>
      <c r="AD307">
        <v>23.7</v>
      </c>
      <c r="AE307">
        <v>786</v>
      </c>
      <c r="AH307">
        <v>28.8</v>
      </c>
      <c r="AI307">
        <v>786</v>
      </c>
      <c r="AL307">
        <v>4</v>
      </c>
      <c r="AM307">
        <v>786</v>
      </c>
      <c r="AP307">
        <v>23.7</v>
      </c>
      <c r="AQ307">
        <v>588</v>
      </c>
      <c r="AT307">
        <v>28.8</v>
      </c>
      <c r="AU307">
        <v>588</v>
      </c>
      <c r="AX307">
        <v>4</v>
      </c>
      <c r="AY307">
        <v>588</v>
      </c>
    </row>
    <row r="308" spans="1:51" x14ac:dyDescent="0.3">
      <c r="A308" s="1">
        <v>44868</v>
      </c>
      <c r="B308">
        <v>24.3</v>
      </c>
      <c r="C308">
        <v>28.9</v>
      </c>
      <c r="D308">
        <v>0</v>
      </c>
      <c r="E308">
        <f t="shared" si="12"/>
        <v>4</v>
      </c>
      <c r="F308">
        <f t="shared" si="13"/>
        <v>4</v>
      </c>
      <c r="G308">
        <f t="shared" si="14"/>
        <v>0</v>
      </c>
      <c r="V308" s="1">
        <v>44868</v>
      </c>
      <c r="W308">
        <v>24.3</v>
      </c>
      <c r="X308">
        <v>28.9</v>
      </c>
      <c r="Y308">
        <v>0</v>
      </c>
      <c r="Z308">
        <v>808</v>
      </c>
      <c r="AA308">
        <v>651</v>
      </c>
      <c r="AD308">
        <v>24.3</v>
      </c>
      <c r="AE308">
        <v>808</v>
      </c>
      <c r="AH308">
        <v>28.9</v>
      </c>
      <c r="AI308">
        <v>808</v>
      </c>
      <c r="AL308">
        <v>0</v>
      </c>
      <c r="AM308">
        <v>808</v>
      </c>
      <c r="AP308">
        <v>24.3</v>
      </c>
      <c r="AQ308">
        <v>651</v>
      </c>
      <c r="AT308">
        <v>28.9</v>
      </c>
      <c r="AU308">
        <v>651</v>
      </c>
      <c r="AX308">
        <v>0</v>
      </c>
      <c r="AY308">
        <v>651</v>
      </c>
    </row>
    <row r="309" spans="1:51" x14ac:dyDescent="0.3">
      <c r="A309" s="1">
        <v>44869</v>
      </c>
      <c r="B309">
        <v>24.9</v>
      </c>
      <c r="C309">
        <v>28.5</v>
      </c>
      <c r="D309">
        <v>0</v>
      </c>
      <c r="E309">
        <f t="shared" si="12"/>
        <v>4</v>
      </c>
      <c r="F309">
        <f t="shared" si="13"/>
        <v>4</v>
      </c>
      <c r="G309">
        <f t="shared" si="14"/>
        <v>0</v>
      </c>
      <c r="V309" s="1">
        <v>44869</v>
      </c>
      <c r="W309">
        <v>24.9</v>
      </c>
      <c r="X309">
        <v>28.5</v>
      </c>
      <c r="Y309">
        <v>0</v>
      </c>
      <c r="Z309">
        <v>880</v>
      </c>
      <c r="AA309">
        <v>716</v>
      </c>
      <c r="AD309">
        <v>24.9</v>
      </c>
      <c r="AE309">
        <v>880</v>
      </c>
      <c r="AH309">
        <v>28.5</v>
      </c>
      <c r="AI309">
        <v>880</v>
      </c>
      <c r="AL309">
        <v>0</v>
      </c>
      <c r="AM309">
        <v>880</v>
      </c>
      <c r="AP309">
        <v>24.9</v>
      </c>
      <c r="AQ309">
        <v>716</v>
      </c>
      <c r="AT309">
        <v>28.5</v>
      </c>
      <c r="AU309">
        <v>716</v>
      </c>
      <c r="AX309">
        <v>0</v>
      </c>
      <c r="AY309">
        <v>716</v>
      </c>
    </row>
    <row r="310" spans="1:51" x14ac:dyDescent="0.3">
      <c r="A310" s="1">
        <v>44870</v>
      </c>
      <c r="B310">
        <v>25.1</v>
      </c>
      <c r="C310">
        <v>23.1</v>
      </c>
      <c r="D310">
        <v>0</v>
      </c>
      <c r="E310">
        <f t="shared" si="12"/>
        <v>4</v>
      </c>
      <c r="F310">
        <f t="shared" si="13"/>
        <v>4</v>
      </c>
      <c r="G310">
        <f t="shared" si="14"/>
        <v>0</v>
      </c>
      <c r="V310" s="1">
        <v>44870</v>
      </c>
      <c r="W310">
        <v>25.1</v>
      </c>
      <c r="X310">
        <v>23.1</v>
      </c>
      <c r="Y310">
        <v>0</v>
      </c>
      <c r="Z310">
        <v>744</v>
      </c>
      <c r="AA310">
        <v>670</v>
      </c>
      <c r="AD310">
        <v>25.1</v>
      </c>
      <c r="AE310">
        <v>744</v>
      </c>
      <c r="AH310">
        <v>23.1</v>
      </c>
      <c r="AI310">
        <v>744</v>
      </c>
      <c r="AL310">
        <v>0</v>
      </c>
      <c r="AM310">
        <v>744</v>
      </c>
      <c r="AP310">
        <v>25.1</v>
      </c>
      <c r="AQ310">
        <v>670</v>
      </c>
      <c r="AT310">
        <v>23.1</v>
      </c>
      <c r="AU310">
        <v>670</v>
      </c>
      <c r="AX310">
        <v>0</v>
      </c>
      <c r="AY310">
        <v>670</v>
      </c>
    </row>
    <row r="311" spans="1:51" x14ac:dyDescent="0.3">
      <c r="A311" s="1">
        <v>44871</v>
      </c>
      <c r="B311">
        <v>25.6</v>
      </c>
      <c r="C311">
        <v>25.7</v>
      </c>
      <c r="D311">
        <v>0</v>
      </c>
      <c r="E311">
        <f t="shared" si="12"/>
        <v>4</v>
      </c>
      <c r="F311">
        <f t="shared" si="13"/>
        <v>4</v>
      </c>
      <c r="G311">
        <f t="shared" si="14"/>
        <v>0</v>
      </c>
      <c r="V311" s="1">
        <v>44871</v>
      </c>
      <c r="W311">
        <v>25.6</v>
      </c>
      <c r="X311">
        <v>25.7</v>
      </c>
      <c r="Y311">
        <v>0</v>
      </c>
      <c r="Z311">
        <v>737</v>
      </c>
      <c r="AA311">
        <v>760</v>
      </c>
      <c r="AD311">
        <v>25.6</v>
      </c>
      <c r="AE311">
        <v>737</v>
      </c>
      <c r="AH311">
        <v>25.7</v>
      </c>
      <c r="AI311">
        <v>737</v>
      </c>
      <c r="AL311">
        <v>0</v>
      </c>
      <c r="AM311">
        <v>737</v>
      </c>
      <c r="AP311">
        <v>25.6</v>
      </c>
      <c r="AQ311">
        <v>760</v>
      </c>
      <c r="AT311">
        <v>25.7</v>
      </c>
      <c r="AU311">
        <v>760</v>
      </c>
      <c r="AX311">
        <v>0</v>
      </c>
      <c r="AY311">
        <v>760</v>
      </c>
    </row>
    <row r="312" spans="1:51" x14ac:dyDescent="0.3">
      <c r="A312" s="1">
        <v>44872</v>
      </c>
      <c r="B312">
        <v>25.7</v>
      </c>
      <c r="C312">
        <v>27.6</v>
      </c>
      <c r="D312">
        <v>0</v>
      </c>
      <c r="E312">
        <f t="shared" si="12"/>
        <v>4</v>
      </c>
      <c r="F312">
        <f t="shared" si="13"/>
        <v>4</v>
      </c>
      <c r="G312">
        <f t="shared" si="14"/>
        <v>0</v>
      </c>
      <c r="V312" s="1">
        <v>44872</v>
      </c>
      <c r="W312">
        <v>25.7</v>
      </c>
      <c r="X312">
        <v>27.6</v>
      </c>
      <c r="Y312">
        <v>0</v>
      </c>
      <c r="Z312">
        <v>593</v>
      </c>
      <c r="AA312">
        <v>477</v>
      </c>
      <c r="AD312">
        <v>25.7</v>
      </c>
      <c r="AE312">
        <v>593</v>
      </c>
      <c r="AH312">
        <v>27.6</v>
      </c>
      <c r="AI312">
        <v>593</v>
      </c>
      <c r="AL312">
        <v>0</v>
      </c>
      <c r="AM312">
        <v>593</v>
      </c>
      <c r="AP312">
        <v>25.7</v>
      </c>
      <c r="AQ312">
        <v>477</v>
      </c>
      <c r="AT312">
        <v>27.6</v>
      </c>
      <c r="AU312">
        <v>477</v>
      </c>
      <c r="AX312">
        <v>0</v>
      </c>
      <c r="AY312">
        <v>477</v>
      </c>
    </row>
    <row r="313" spans="1:51" x14ac:dyDescent="0.3">
      <c r="A313" s="1">
        <v>44873</v>
      </c>
      <c r="B313">
        <v>25.2</v>
      </c>
      <c r="C313">
        <v>23.2</v>
      </c>
      <c r="D313">
        <v>0</v>
      </c>
      <c r="E313">
        <f t="shared" si="12"/>
        <v>4</v>
      </c>
      <c r="F313">
        <f t="shared" si="13"/>
        <v>4</v>
      </c>
      <c r="G313">
        <f t="shared" si="14"/>
        <v>0</v>
      </c>
      <c r="V313" s="1">
        <v>44873</v>
      </c>
      <c r="W313">
        <v>25.2</v>
      </c>
      <c r="X313">
        <v>23.2</v>
      </c>
      <c r="Y313">
        <v>0</v>
      </c>
      <c r="Z313">
        <v>790</v>
      </c>
      <c r="AA313">
        <v>591</v>
      </c>
      <c r="AD313">
        <v>25.2</v>
      </c>
      <c r="AE313">
        <v>790</v>
      </c>
      <c r="AH313">
        <v>23.2</v>
      </c>
      <c r="AI313">
        <v>790</v>
      </c>
      <c r="AL313">
        <v>0</v>
      </c>
      <c r="AM313">
        <v>790</v>
      </c>
      <c r="AP313">
        <v>25.2</v>
      </c>
      <c r="AQ313">
        <v>591</v>
      </c>
      <c r="AT313">
        <v>23.2</v>
      </c>
      <c r="AU313">
        <v>591</v>
      </c>
      <c r="AX313">
        <v>0</v>
      </c>
      <c r="AY313">
        <v>591</v>
      </c>
    </row>
    <row r="314" spans="1:51" x14ac:dyDescent="0.3">
      <c r="A314" s="1">
        <v>44874</v>
      </c>
      <c r="B314">
        <v>25.3</v>
      </c>
      <c r="C314">
        <v>21.6</v>
      </c>
      <c r="D314">
        <v>0</v>
      </c>
      <c r="E314">
        <f t="shared" si="12"/>
        <v>4</v>
      </c>
      <c r="F314">
        <f t="shared" si="13"/>
        <v>4</v>
      </c>
      <c r="G314">
        <f t="shared" si="14"/>
        <v>0</v>
      </c>
      <c r="V314" s="1">
        <v>44874</v>
      </c>
      <c r="W314">
        <v>25.3</v>
      </c>
      <c r="X314">
        <v>21.6</v>
      </c>
      <c r="Y314">
        <v>0</v>
      </c>
      <c r="Z314">
        <v>790</v>
      </c>
      <c r="AA314">
        <v>708</v>
      </c>
      <c r="AD314">
        <v>25.3</v>
      </c>
      <c r="AE314">
        <v>790</v>
      </c>
      <c r="AH314">
        <v>21.6</v>
      </c>
      <c r="AI314">
        <v>790</v>
      </c>
      <c r="AL314">
        <v>0</v>
      </c>
      <c r="AM314">
        <v>790</v>
      </c>
      <c r="AP314">
        <v>25.3</v>
      </c>
      <c r="AQ314">
        <v>708</v>
      </c>
      <c r="AT314">
        <v>21.6</v>
      </c>
      <c r="AU314">
        <v>708</v>
      </c>
      <c r="AX314">
        <v>0</v>
      </c>
      <c r="AY314">
        <v>708</v>
      </c>
    </row>
    <row r="315" spans="1:51" x14ac:dyDescent="0.3">
      <c r="A315" s="1">
        <v>44875</v>
      </c>
      <c r="B315">
        <v>25.7</v>
      </c>
      <c r="C315">
        <v>26.3</v>
      </c>
      <c r="D315">
        <v>0</v>
      </c>
      <c r="E315">
        <f t="shared" si="12"/>
        <v>4</v>
      </c>
      <c r="F315">
        <f t="shared" si="13"/>
        <v>4</v>
      </c>
      <c r="G315">
        <f t="shared" si="14"/>
        <v>0</v>
      </c>
      <c r="V315" s="1">
        <v>44875</v>
      </c>
      <c r="W315">
        <v>25.7</v>
      </c>
      <c r="X315">
        <v>26.3</v>
      </c>
      <c r="Y315">
        <v>0</v>
      </c>
      <c r="Z315">
        <v>713</v>
      </c>
      <c r="AA315">
        <v>553</v>
      </c>
      <c r="AD315">
        <v>25.7</v>
      </c>
      <c r="AE315">
        <v>713</v>
      </c>
      <c r="AH315">
        <v>26.3</v>
      </c>
      <c r="AI315">
        <v>713</v>
      </c>
      <c r="AL315">
        <v>0</v>
      </c>
      <c r="AM315">
        <v>713</v>
      </c>
      <c r="AP315">
        <v>25.7</v>
      </c>
      <c r="AQ315">
        <v>553</v>
      </c>
      <c r="AT315">
        <v>26.3</v>
      </c>
      <c r="AU315">
        <v>553</v>
      </c>
      <c r="AX315">
        <v>0</v>
      </c>
      <c r="AY315">
        <v>553</v>
      </c>
    </row>
    <row r="316" spans="1:51" x14ac:dyDescent="0.3">
      <c r="A316" s="1">
        <v>44876</v>
      </c>
      <c r="B316">
        <v>26.2</v>
      </c>
      <c r="C316">
        <v>29.3</v>
      </c>
      <c r="D316">
        <v>0</v>
      </c>
      <c r="E316">
        <f t="shared" si="12"/>
        <v>4</v>
      </c>
      <c r="F316">
        <f t="shared" si="13"/>
        <v>4</v>
      </c>
      <c r="G316">
        <f t="shared" si="14"/>
        <v>0</v>
      </c>
      <c r="V316" s="1">
        <v>44876</v>
      </c>
      <c r="W316">
        <v>26.2</v>
      </c>
      <c r="X316">
        <v>29.3</v>
      </c>
      <c r="Y316">
        <v>0</v>
      </c>
      <c r="Z316">
        <v>847</v>
      </c>
      <c r="AA316">
        <v>738</v>
      </c>
      <c r="AD316">
        <v>26.2</v>
      </c>
      <c r="AE316">
        <v>847</v>
      </c>
      <c r="AH316">
        <v>29.3</v>
      </c>
      <c r="AI316">
        <v>847</v>
      </c>
      <c r="AL316">
        <v>0</v>
      </c>
      <c r="AM316">
        <v>847</v>
      </c>
      <c r="AP316">
        <v>26.2</v>
      </c>
      <c r="AQ316">
        <v>738</v>
      </c>
      <c r="AT316">
        <v>29.3</v>
      </c>
      <c r="AU316">
        <v>738</v>
      </c>
      <c r="AX316">
        <v>0</v>
      </c>
      <c r="AY316">
        <v>738</v>
      </c>
    </row>
    <row r="317" spans="1:51" x14ac:dyDescent="0.3">
      <c r="A317" s="1">
        <v>44877</v>
      </c>
      <c r="B317">
        <v>28.4</v>
      </c>
      <c r="C317">
        <v>17.399999999999999</v>
      </c>
      <c r="D317">
        <v>0</v>
      </c>
      <c r="E317">
        <f t="shared" si="12"/>
        <v>4</v>
      </c>
      <c r="F317">
        <f t="shared" si="13"/>
        <v>4</v>
      </c>
      <c r="G317">
        <f t="shared" si="14"/>
        <v>0</v>
      </c>
      <c r="V317" s="1">
        <v>44877</v>
      </c>
      <c r="W317">
        <v>28.4</v>
      </c>
      <c r="X317">
        <v>17.399999999999999</v>
      </c>
      <c r="Y317">
        <v>0</v>
      </c>
      <c r="Z317">
        <v>704</v>
      </c>
      <c r="AA317">
        <v>620</v>
      </c>
      <c r="AD317">
        <v>28.4</v>
      </c>
      <c r="AE317">
        <v>704</v>
      </c>
      <c r="AH317">
        <v>17.399999999999999</v>
      </c>
      <c r="AI317">
        <v>704</v>
      </c>
      <c r="AL317">
        <v>0</v>
      </c>
      <c r="AM317">
        <v>704</v>
      </c>
      <c r="AP317">
        <v>28.4</v>
      </c>
      <c r="AQ317">
        <v>620</v>
      </c>
      <c r="AT317">
        <v>17.399999999999999</v>
      </c>
      <c r="AU317">
        <v>620</v>
      </c>
      <c r="AX317">
        <v>0</v>
      </c>
      <c r="AY317">
        <v>620</v>
      </c>
    </row>
    <row r="318" spans="1:51" x14ac:dyDescent="0.3">
      <c r="A318" s="1">
        <v>44878</v>
      </c>
      <c r="B318">
        <v>27.7</v>
      </c>
      <c r="C318">
        <v>29.5</v>
      </c>
      <c r="D318">
        <v>0</v>
      </c>
      <c r="E318">
        <f t="shared" si="12"/>
        <v>4</v>
      </c>
      <c r="F318">
        <f t="shared" si="13"/>
        <v>4</v>
      </c>
      <c r="G318">
        <f t="shared" si="14"/>
        <v>0</v>
      </c>
      <c r="V318" s="1">
        <v>44878</v>
      </c>
      <c r="W318">
        <v>27.7</v>
      </c>
      <c r="X318">
        <v>29.5</v>
      </c>
      <c r="Y318">
        <v>0</v>
      </c>
      <c r="Z318">
        <v>662</v>
      </c>
      <c r="AA318">
        <v>656</v>
      </c>
      <c r="AD318">
        <v>27.7</v>
      </c>
      <c r="AE318">
        <v>662</v>
      </c>
      <c r="AH318">
        <v>29.5</v>
      </c>
      <c r="AI318">
        <v>662</v>
      </c>
      <c r="AL318">
        <v>0</v>
      </c>
      <c r="AM318">
        <v>662</v>
      </c>
      <c r="AP318">
        <v>27.7</v>
      </c>
      <c r="AQ318">
        <v>656</v>
      </c>
      <c r="AT318">
        <v>29.5</v>
      </c>
      <c r="AU318">
        <v>656</v>
      </c>
      <c r="AX318">
        <v>0</v>
      </c>
      <c r="AY318">
        <v>656</v>
      </c>
    </row>
    <row r="319" spans="1:51" x14ac:dyDescent="0.3">
      <c r="A319" s="1">
        <v>44879</v>
      </c>
      <c r="B319">
        <v>28.8</v>
      </c>
      <c r="C319">
        <v>21.8</v>
      </c>
      <c r="D319">
        <v>0</v>
      </c>
      <c r="E319">
        <f t="shared" si="12"/>
        <v>4</v>
      </c>
      <c r="F319">
        <f t="shared" si="13"/>
        <v>4</v>
      </c>
      <c r="G319">
        <f t="shared" si="14"/>
        <v>0</v>
      </c>
      <c r="V319" s="1">
        <v>44879</v>
      </c>
      <c r="W319">
        <v>28.8</v>
      </c>
      <c r="X319">
        <v>21.8</v>
      </c>
      <c r="Y319">
        <v>0</v>
      </c>
      <c r="Z319">
        <v>501</v>
      </c>
      <c r="AA319">
        <v>427</v>
      </c>
      <c r="AD319">
        <v>28.8</v>
      </c>
      <c r="AE319">
        <v>501</v>
      </c>
      <c r="AH319">
        <v>21.8</v>
      </c>
      <c r="AI319">
        <v>501</v>
      </c>
      <c r="AL319">
        <v>0</v>
      </c>
      <c r="AM319">
        <v>501</v>
      </c>
      <c r="AP319">
        <v>28.8</v>
      </c>
      <c r="AQ319">
        <v>427</v>
      </c>
      <c r="AT319">
        <v>21.8</v>
      </c>
      <c r="AU319">
        <v>427</v>
      </c>
      <c r="AX319">
        <v>0</v>
      </c>
      <c r="AY319">
        <v>427</v>
      </c>
    </row>
    <row r="320" spans="1:51" x14ac:dyDescent="0.3">
      <c r="A320" s="1">
        <v>44880</v>
      </c>
      <c r="B320">
        <v>33.299999999999997</v>
      </c>
      <c r="C320">
        <v>28.6</v>
      </c>
      <c r="D320">
        <v>0</v>
      </c>
      <c r="E320">
        <f t="shared" si="12"/>
        <v>4</v>
      </c>
      <c r="F320">
        <f t="shared" si="13"/>
        <v>4</v>
      </c>
      <c r="G320">
        <f t="shared" si="14"/>
        <v>0</v>
      </c>
      <c r="V320" s="1">
        <v>44880</v>
      </c>
      <c r="W320">
        <v>33.299999999999997</v>
      </c>
      <c r="X320">
        <v>28.6</v>
      </c>
      <c r="Y320">
        <v>0</v>
      </c>
      <c r="Z320">
        <v>530</v>
      </c>
      <c r="AA320">
        <v>580</v>
      </c>
      <c r="AD320">
        <v>33.299999999999997</v>
      </c>
      <c r="AE320">
        <v>530</v>
      </c>
      <c r="AH320">
        <v>28.6</v>
      </c>
      <c r="AI320">
        <v>530</v>
      </c>
      <c r="AL320">
        <v>0</v>
      </c>
      <c r="AM320">
        <v>530</v>
      </c>
      <c r="AP320">
        <v>33.299999999999997</v>
      </c>
      <c r="AQ320">
        <v>580</v>
      </c>
      <c r="AT320">
        <v>28.6</v>
      </c>
      <c r="AU320">
        <v>580</v>
      </c>
      <c r="AX320">
        <v>0</v>
      </c>
      <c r="AY320">
        <v>580</v>
      </c>
    </row>
    <row r="321" spans="1:51" x14ac:dyDescent="0.3">
      <c r="A321" s="1">
        <v>44881</v>
      </c>
      <c r="B321">
        <v>30.1</v>
      </c>
      <c r="C321">
        <v>29.6</v>
      </c>
      <c r="D321">
        <v>0</v>
      </c>
      <c r="E321">
        <f t="shared" si="12"/>
        <v>4</v>
      </c>
      <c r="F321">
        <f t="shared" si="13"/>
        <v>4</v>
      </c>
      <c r="G321">
        <f t="shared" si="14"/>
        <v>0</v>
      </c>
      <c r="V321" s="1">
        <v>44881</v>
      </c>
      <c r="W321">
        <v>30.1</v>
      </c>
      <c r="X321">
        <v>29.6</v>
      </c>
      <c r="Y321">
        <v>0</v>
      </c>
      <c r="Z321">
        <v>665</v>
      </c>
      <c r="AA321">
        <v>635</v>
      </c>
      <c r="AD321">
        <v>30.1</v>
      </c>
      <c r="AE321">
        <v>665</v>
      </c>
      <c r="AH321">
        <v>29.6</v>
      </c>
      <c r="AI321">
        <v>665</v>
      </c>
      <c r="AL321">
        <v>0</v>
      </c>
      <c r="AM321">
        <v>665</v>
      </c>
      <c r="AP321">
        <v>30.1</v>
      </c>
      <c r="AQ321">
        <v>635</v>
      </c>
      <c r="AT321">
        <v>29.6</v>
      </c>
      <c r="AU321">
        <v>635</v>
      </c>
      <c r="AX321">
        <v>0</v>
      </c>
      <c r="AY321">
        <v>635</v>
      </c>
    </row>
    <row r="322" spans="1:51" x14ac:dyDescent="0.3">
      <c r="A322" s="1">
        <v>44882</v>
      </c>
      <c r="B322">
        <v>24.8</v>
      </c>
      <c r="C322">
        <v>23.7</v>
      </c>
      <c r="D322">
        <v>0</v>
      </c>
      <c r="E322">
        <f t="shared" si="12"/>
        <v>4</v>
      </c>
      <c r="F322">
        <f t="shared" si="13"/>
        <v>4</v>
      </c>
      <c r="G322">
        <f t="shared" si="14"/>
        <v>0</v>
      </c>
      <c r="V322" s="1">
        <v>44882</v>
      </c>
      <c r="W322">
        <v>24.8</v>
      </c>
      <c r="X322">
        <v>23.7</v>
      </c>
      <c r="Y322">
        <v>0</v>
      </c>
      <c r="Z322">
        <v>745</v>
      </c>
      <c r="AA322">
        <v>603</v>
      </c>
      <c r="AD322">
        <v>24.8</v>
      </c>
      <c r="AE322">
        <v>745</v>
      </c>
      <c r="AH322">
        <v>23.7</v>
      </c>
      <c r="AI322">
        <v>745</v>
      </c>
      <c r="AL322">
        <v>0</v>
      </c>
      <c r="AM322">
        <v>745</v>
      </c>
      <c r="AP322">
        <v>24.8</v>
      </c>
      <c r="AQ322">
        <v>603</v>
      </c>
      <c r="AT322">
        <v>23.7</v>
      </c>
      <c r="AU322">
        <v>603</v>
      </c>
      <c r="AX322">
        <v>0</v>
      </c>
      <c r="AY322">
        <v>603</v>
      </c>
    </row>
    <row r="323" spans="1:51" x14ac:dyDescent="0.3">
      <c r="A323" s="1">
        <v>44883</v>
      </c>
      <c r="B323">
        <v>27</v>
      </c>
      <c r="C323">
        <v>27.4</v>
      </c>
      <c r="D323">
        <v>0</v>
      </c>
      <c r="E323">
        <f t="shared" ref="E323:E366" si="15">COUNT(A323:D323)</f>
        <v>4</v>
      </c>
      <c r="F323">
        <f t="shared" ref="F323:F366" si="16">COUNTA(A323:D323)</f>
        <v>4</v>
      </c>
      <c r="G323">
        <f t="shared" ref="G323:G366" si="17">COUNTBLANK(A323:D323)</f>
        <v>0</v>
      </c>
      <c r="V323" s="1">
        <v>44883</v>
      </c>
      <c r="W323">
        <v>27</v>
      </c>
      <c r="X323">
        <v>27.4</v>
      </c>
      <c r="Y323">
        <v>0</v>
      </c>
      <c r="Z323">
        <v>755</v>
      </c>
      <c r="AA323">
        <v>697</v>
      </c>
      <c r="AD323">
        <v>27</v>
      </c>
      <c r="AE323">
        <v>755</v>
      </c>
      <c r="AH323">
        <v>27.4</v>
      </c>
      <c r="AI323">
        <v>755</v>
      </c>
      <c r="AL323">
        <v>0</v>
      </c>
      <c r="AM323">
        <v>755</v>
      </c>
      <c r="AP323">
        <v>27</v>
      </c>
      <c r="AQ323">
        <v>697</v>
      </c>
      <c r="AT323">
        <v>27.4</v>
      </c>
      <c r="AU323">
        <v>697</v>
      </c>
      <c r="AX323">
        <v>0</v>
      </c>
      <c r="AY323">
        <v>697</v>
      </c>
    </row>
    <row r="324" spans="1:51" x14ac:dyDescent="0.3">
      <c r="A324" s="1">
        <v>44884</v>
      </c>
      <c r="B324">
        <v>28.3</v>
      </c>
      <c r="C324">
        <v>29.1</v>
      </c>
      <c r="D324">
        <v>0</v>
      </c>
      <c r="E324">
        <f t="shared" si="15"/>
        <v>4</v>
      </c>
      <c r="F324">
        <f t="shared" si="16"/>
        <v>4</v>
      </c>
      <c r="G324">
        <f t="shared" si="17"/>
        <v>0</v>
      </c>
      <c r="V324" s="1">
        <v>44884</v>
      </c>
      <c r="W324">
        <v>28.3</v>
      </c>
      <c r="X324">
        <v>29.1</v>
      </c>
      <c r="Y324">
        <v>0</v>
      </c>
      <c r="Z324">
        <v>637</v>
      </c>
      <c r="AA324">
        <v>669</v>
      </c>
      <c r="AD324">
        <v>28.3</v>
      </c>
      <c r="AE324">
        <v>637</v>
      </c>
      <c r="AH324">
        <v>29.1</v>
      </c>
      <c r="AI324">
        <v>637</v>
      </c>
      <c r="AL324">
        <v>0</v>
      </c>
      <c r="AM324">
        <v>637</v>
      </c>
      <c r="AP324">
        <v>28.3</v>
      </c>
      <c r="AQ324">
        <v>669</v>
      </c>
      <c r="AT324">
        <v>29.1</v>
      </c>
      <c r="AU324">
        <v>669</v>
      </c>
      <c r="AX324">
        <v>0</v>
      </c>
      <c r="AY324">
        <v>669</v>
      </c>
    </row>
    <row r="325" spans="1:51" x14ac:dyDescent="0.3">
      <c r="A325" s="1">
        <v>44885</v>
      </c>
      <c r="B325">
        <v>34.5</v>
      </c>
      <c r="C325">
        <v>17.2</v>
      </c>
      <c r="D325">
        <v>0</v>
      </c>
      <c r="E325">
        <f t="shared" si="15"/>
        <v>4</v>
      </c>
      <c r="F325">
        <f t="shared" si="16"/>
        <v>4</v>
      </c>
      <c r="G325">
        <f t="shared" si="17"/>
        <v>0</v>
      </c>
      <c r="V325" s="1">
        <v>44885</v>
      </c>
      <c r="W325">
        <v>34.5</v>
      </c>
      <c r="X325">
        <v>17.2</v>
      </c>
      <c r="Y325">
        <v>0</v>
      </c>
      <c r="Z325">
        <v>351</v>
      </c>
      <c r="AA325">
        <v>634</v>
      </c>
      <c r="AD325">
        <v>34.5</v>
      </c>
      <c r="AE325">
        <v>351</v>
      </c>
      <c r="AH325">
        <v>17.2</v>
      </c>
      <c r="AI325">
        <v>351</v>
      </c>
      <c r="AL325">
        <v>0</v>
      </c>
      <c r="AM325">
        <v>351</v>
      </c>
      <c r="AP325">
        <v>34.5</v>
      </c>
      <c r="AQ325">
        <v>634</v>
      </c>
      <c r="AT325">
        <v>17.2</v>
      </c>
      <c r="AU325">
        <v>634</v>
      </c>
      <c r="AX325">
        <v>0</v>
      </c>
      <c r="AY325">
        <v>634</v>
      </c>
    </row>
    <row r="326" spans="1:51" x14ac:dyDescent="0.3">
      <c r="A326" s="1">
        <v>44886</v>
      </c>
      <c r="B326">
        <v>34.299999999999997</v>
      </c>
      <c r="C326">
        <v>27</v>
      </c>
      <c r="D326">
        <v>6.6</v>
      </c>
      <c r="E326">
        <f t="shared" si="15"/>
        <v>4</v>
      </c>
      <c r="F326">
        <f t="shared" si="16"/>
        <v>4</v>
      </c>
      <c r="G326">
        <f t="shared" si="17"/>
        <v>0</v>
      </c>
      <c r="V326" s="1">
        <v>44886</v>
      </c>
      <c r="W326">
        <v>34.299999999999997</v>
      </c>
      <c r="X326">
        <v>27</v>
      </c>
      <c r="Y326">
        <v>6.6</v>
      </c>
      <c r="Z326">
        <v>286</v>
      </c>
      <c r="AA326">
        <v>434</v>
      </c>
      <c r="AD326">
        <v>34.299999999999997</v>
      </c>
      <c r="AE326">
        <v>286</v>
      </c>
      <c r="AH326">
        <v>27</v>
      </c>
      <c r="AI326">
        <v>286</v>
      </c>
      <c r="AL326">
        <v>6.6</v>
      </c>
      <c r="AM326">
        <v>286</v>
      </c>
      <c r="AP326">
        <v>34.299999999999997</v>
      </c>
      <c r="AQ326">
        <v>434</v>
      </c>
      <c r="AT326">
        <v>27</v>
      </c>
      <c r="AU326">
        <v>434</v>
      </c>
      <c r="AX326">
        <v>6.6</v>
      </c>
      <c r="AY326">
        <v>434</v>
      </c>
    </row>
    <row r="327" spans="1:51" x14ac:dyDescent="0.3">
      <c r="A327" s="1">
        <v>44887</v>
      </c>
      <c r="B327">
        <v>30.7</v>
      </c>
      <c r="C327">
        <v>26</v>
      </c>
      <c r="D327">
        <v>0</v>
      </c>
      <c r="E327">
        <f t="shared" si="15"/>
        <v>4</v>
      </c>
      <c r="F327">
        <f t="shared" si="16"/>
        <v>4</v>
      </c>
      <c r="G327">
        <f t="shared" si="17"/>
        <v>0</v>
      </c>
      <c r="V327" s="1">
        <v>44887</v>
      </c>
      <c r="W327">
        <v>30.7</v>
      </c>
      <c r="X327">
        <v>26</v>
      </c>
      <c r="Y327">
        <v>0</v>
      </c>
      <c r="Z327">
        <v>592</v>
      </c>
      <c r="AA327">
        <v>637</v>
      </c>
      <c r="AD327">
        <v>30.7</v>
      </c>
      <c r="AE327">
        <v>592</v>
      </c>
      <c r="AH327">
        <v>26</v>
      </c>
      <c r="AI327">
        <v>592</v>
      </c>
      <c r="AL327">
        <v>0</v>
      </c>
      <c r="AM327">
        <v>592</v>
      </c>
      <c r="AP327">
        <v>30.7</v>
      </c>
      <c r="AQ327">
        <v>637</v>
      </c>
      <c r="AT327">
        <v>26</v>
      </c>
      <c r="AU327">
        <v>637</v>
      </c>
      <c r="AX327">
        <v>0</v>
      </c>
      <c r="AY327">
        <v>637</v>
      </c>
    </row>
    <row r="328" spans="1:51" x14ac:dyDescent="0.3">
      <c r="A328" s="1">
        <v>44888</v>
      </c>
      <c r="B328">
        <v>27.6</v>
      </c>
      <c r="C328">
        <v>18.5</v>
      </c>
      <c r="D328">
        <v>0</v>
      </c>
      <c r="E328">
        <f t="shared" si="15"/>
        <v>4</v>
      </c>
      <c r="F328">
        <f t="shared" si="16"/>
        <v>4</v>
      </c>
      <c r="G328">
        <f t="shared" si="17"/>
        <v>0</v>
      </c>
      <c r="V328" s="1">
        <v>44888</v>
      </c>
      <c r="W328">
        <v>27.6</v>
      </c>
      <c r="X328">
        <v>18.5</v>
      </c>
      <c r="Y328">
        <v>0</v>
      </c>
      <c r="Z328">
        <v>667</v>
      </c>
      <c r="AA328">
        <v>687</v>
      </c>
      <c r="AD328">
        <v>27.6</v>
      </c>
      <c r="AE328">
        <v>667</v>
      </c>
      <c r="AH328">
        <v>18.5</v>
      </c>
      <c r="AI328">
        <v>667</v>
      </c>
      <c r="AL328">
        <v>0</v>
      </c>
      <c r="AM328">
        <v>667</v>
      </c>
      <c r="AP328">
        <v>27.6</v>
      </c>
      <c r="AQ328">
        <v>687</v>
      </c>
      <c r="AT328">
        <v>18.5</v>
      </c>
      <c r="AU328">
        <v>687</v>
      </c>
      <c r="AX328">
        <v>0</v>
      </c>
      <c r="AY328">
        <v>687</v>
      </c>
    </row>
    <row r="329" spans="1:51" x14ac:dyDescent="0.3">
      <c r="A329" s="1">
        <v>44889</v>
      </c>
      <c r="B329">
        <v>28.6</v>
      </c>
      <c r="C329">
        <v>17.3</v>
      </c>
      <c r="D329">
        <v>0</v>
      </c>
      <c r="E329">
        <f t="shared" si="15"/>
        <v>4</v>
      </c>
      <c r="F329">
        <f t="shared" si="16"/>
        <v>4</v>
      </c>
      <c r="G329">
        <f t="shared" si="17"/>
        <v>0</v>
      </c>
      <c r="V329" s="1">
        <v>44889</v>
      </c>
      <c r="W329">
        <v>28.6</v>
      </c>
      <c r="X329">
        <v>17.3</v>
      </c>
      <c r="Y329">
        <v>0</v>
      </c>
      <c r="Z329">
        <v>588</v>
      </c>
      <c r="AA329">
        <v>605</v>
      </c>
      <c r="AD329">
        <v>28.6</v>
      </c>
      <c r="AE329">
        <v>588</v>
      </c>
      <c r="AH329">
        <v>17.3</v>
      </c>
      <c r="AI329">
        <v>588</v>
      </c>
      <c r="AL329">
        <v>0</v>
      </c>
      <c r="AM329">
        <v>588</v>
      </c>
      <c r="AP329">
        <v>28.6</v>
      </c>
      <c r="AQ329">
        <v>605</v>
      </c>
      <c r="AT329">
        <v>17.3</v>
      </c>
      <c r="AU329">
        <v>605</v>
      </c>
      <c r="AX329">
        <v>0</v>
      </c>
      <c r="AY329">
        <v>605</v>
      </c>
    </row>
    <row r="330" spans="1:51" x14ac:dyDescent="0.3">
      <c r="A330" s="1">
        <v>44890</v>
      </c>
      <c r="B330">
        <v>32.4</v>
      </c>
      <c r="C330">
        <v>30.4</v>
      </c>
      <c r="D330">
        <v>0</v>
      </c>
      <c r="E330">
        <f t="shared" si="15"/>
        <v>4</v>
      </c>
      <c r="F330">
        <f t="shared" si="16"/>
        <v>4</v>
      </c>
      <c r="G330">
        <f t="shared" si="17"/>
        <v>0</v>
      </c>
      <c r="V330" s="1">
        <v>44890</v>
      </c>
      <c r="W330">
        <v>32.4</v>
      </c>
      <c r="X330">
        <v>30.4</v>
      </c>
      <c r="Y330">
        <v>0</v>
      </c>
      <c r="Z330">
        <v>659</v>
      </c>
      <c r="AA330">
        <v>672</v>
      </c>
      <c r="AD330">
        <v>32.4</v>
      </c>
      <c r="AE330">
        <v>659</v>
      </c>
      <c r="AH330">
        <v>30.4</v>
      </c>
      <c r="AI330">
        <v>659</v>
      </c>
      <c r="AL330">
        <v>0</v>
      </c>
      <c r="AM330">
        <v>659</v>
      </c>
      <c r="AP330">
        <v>32.4</v>
      </c>
      <c r="AQ330">
        <v>672</v>
      </c>
      <c r="AT330">
        <v>30.4</v>
      </c>
      <c r="AU330">
        <v>672</v>
      </c>
      <c r="AX330">
        <v>0</v>
      </c>
      <c r="AY330">
        <v>672</v>
      </c>
    </row>
    <row r="331" spans="1:51" x14ac:dyDescent="0.3">
      <c r="A331" s="1">
        <v>44891</v>
      </c>
      <c r="B331">
        <v>33.9</v>
      </c>
      <c r="C331">
        <v>30.7</v>
      </c>
      <c r="D331">
        <v>0</v>
      </c>
      <c r="E331">
        <f t="shared" si="15"/>
        <v>4</v>
      </c>
      <c r="F331">
        <f t="shared" si="16"/>
        <v>4</v>
      </c>
      <c r="G331">
        <f t="shared" si="17"/>
        <v>0</v>
      </c>
      <c r="V331" s="1">
        <v>44891</v>
      </c>
      <c r="W331">
        <v>33.9</v>
      </c>
      <c r="X331">
        <v>30.7</v>
      </c>
      <c r="Y331">
        <v>0</v>
      </c>
      <c r="Z331">
        <v>527</v>
      </c>
      <c r="AA331">
        <v>612</v>
      </c>
      <c r="AD331">
        <v>33.9</v>
      </c>
      <c r="AE331">
        <v>527</v>
      </c>
      <c r="AH331">
        <v>30.7</v>
      </c>
      <c r="AI331">
        <v>527</v>
      </c>
      <c r="AL331">
        <v>0</v>
      </c>
      <c r="AM331">
        <v>527</v>
      </c>
      <c r="AP331">
        <v>33.9</v>
      </c>
      <c r="AQ331">
        <v>612</v>
      </c>
      <c r="AT331">
        <v>30.7</v>
      </c>
      <c r="AU331">
        <v>612</v>
      </c>
      <c r="AX331">
        <v>0</v>
      </c>
      <c r="AY331">
        <v>612</v>
      </c>
    </row>
    <row r="332" spans="1:51" x14ac:dyDescent="0.3">
      <c r="A332" s="1">
        <v>44892</v>
      </c>
      <c r="B332">
        <v>29.4</v>
      </c>
      <c r="C332">
        <v>18.899999999999999</v>
      </c>
      <c r="D332">
        <v>0</v>
      </c>
      <c r="E332">
        <f t="shared" si="15"/>
        <v>4</v>
      </c>
      <c r="F332">
        <f t="shared" si="16"/>
        <v>4</v>
      </c>
      <c r="G332">
        <f t="shared" si="17"/>
        <v>0</v>
      </c>
      <c r="V332" s="1">
        <v>44892</v>
      </c>
      <c r="W332">
        <v>29.4</v>
      </c>
      <c r="X332">
        <v>18.899999999999999</v>
      </c>
      <c r="Y332">
        <v>0</v>
      </c>
      <c r="Z332">
        <v>467</v>
      </c>
      <c r="AA332">
        <v>613</v>
      </c>
      <c r="AD332">
        <v>29.4</v>
      </c>
      <c r="AE332">
        <v>467</v>
      </c>
      <c r="AH332">
        <v>18.899999999999999</v>
      </c>
      <c r="AI332">
        <v>467</v>
      </c>
      <c r="AL332">
        <v>0</v>
      </c>
      <c r="AM332">
        <v>467</v>
      </c>
      <c r="AP332">
        <v>29.4</v>
      </c>
      <c r="AQ332">
        <v>613</v>
      </c>
      <c r="AT332">
        <v>18.899999999999999</v>
      </c>
      <c r="AU332">
        <v>613</v>
      </c>
      <c r="AX332">
        <v>0</v>
      </c>
      <c r="AY332">
        <v>613</v>
      </c>
    </row>
    <row r="333" spans="1:51" x14ac:dyDescent="0.3">
      <c r="A333" s="1">
        <v>44893</v>
      </c>
      <c r="B333">
        <v>31</v>
      </c>
      <c r="C333">
        <v>25.6</v>
      </c>
      <c r="D333">
        <v>21.4</v>
      </c>
      <c r="E333">
        <f t="shared" si="15"/>
        <v>4</v>
      </c>
      <c r="F333">
        <f t="shared" si="16"/>
        <v>4</v>
      </c>
      <c r="G333">
        <f t="shared" si="17"/>
        <v>0</v>
      </c>
      <c r="V333" s="1">
        <v>44893</v>
      </c>
      <c r="W333">
        <v>31</v>
      </c>
      <c r="X333">
        <v>25.6</v>
      </c>
      <c r="Y333">
        <v>21.4</v>
      </c>
      <c r="Z333">
        <v>326</v>
      </c>
      <c r="AA333">
        <v>360</v>
      </c>
      <c r="AD333">
        <v>31</v>
      </c>
      <c r="AE333">
        <v>326</v>
      </c>
      <c r="AH333">
        <v>25.6</v>
      </c>
      <c r="AI333">
        <v>326</v>
      </c>
      <c r="AL333">
        <v>21.4</v>
      </c>
      <c r="AM333">
        <v>326</v>
      </c>
      <c r="AP333">
        <v>31</v>
      </c>
      <c r="AQ333">
        <v>360</v>
      </c>
      <c r="AT333">
        <v>25.6</v>
      </c>
      <c r="AU333">
        <v>360</v>
      </c>
      <c r="AX333">
        <v>21.4</v>
      </c>
      <c r="AY333">
        <v>360</v>
      </c>
    </row>
    <row r="334" spans="1:51" x14ac:dyDescent="0.3">
      <c r="A334" s="1">
        <v>44894</v>
      </c>
      <c r="B334">
        <v>28.5</v>
      </c>
      <c r="C334">
        <v>12.8</v>
      </c>
      <c r="D334">
        <v>10.6</v>
      </c>
      <c r="E334">
        <f t="shared" si="15"/>
        <v>4</v>
      </c>
      <c r="F334">
        <f t="shared" si="16"/>
        <v>4</v>
      </c>
      <c r="G334">
        <f t="shared" si="17"/>
        <v>0</v>
      </c>
      <c r="V334" s="1">
        <v>44894</v>
      </c>
      <c r="W334">
        <v>28.5</v>
      </c>
      <c r="X334">
        <v>12.8</v>
      </c>
      <c r="Y334">
        <v>10.6</v>
      </c>
      <c r="Z334">
        <v>487</v>
      </c>
      <c r="AA334">
        <v>514</v>
      </c>
      <c r="AD334">
        <v>28.5</v>
      </c>
      <c r="AE334">
        <v>487</v>
      </c>
      <c r="AH334">
        <v>12.8</v>
      </c>
      <c r="AI334">
        <v>487</v>
      </c>
      <c r="AL334">
        <v>10.6</v>
      </c>
      <c r="AM334">
        <v>487</v>
      </c>
      <c r="AP334">
        <v>28.5</v>
      </c>
      <c r="AQ334">
        <v>514</v>
      </c>
      <c r="AT334">
        <v>12.8</v>
      </c>
      <c r="AU334">
        <v>514</v>
      </c>
      <c r="AX334">
        <v>10.6</v>
      </c>
      <c r="AY334">
        <v>514</v>
      </c>
    </row>
    <row r="335" spans="1:51" x14ac:dyDescent="0.3">
      <c r="A335" s="1">
        <v>44895</v>
      </c>
      <c r="B335">
        <v>22.6</v>
      </c>
      <c r="C335">
        <f>2*4.5</f>
        <v>9</v>
      </c>
      <c r="D335">
        <v>1.4</v>
      </c>
      <c r="E335">
        <f t="shared" si="15"/>
        <v>4</v>
      </c>
      <c r="F335">
        <f t="shared" si="16"/>
        <v>4</v>
      </c>
      <c r="G335">
        <f t="shared" si="17"/>
        <v>0</v>
      </c>
      <c r="V335" s="1">
        <v>44895</v>
      </c>
      <c r="W335">
        <v>22.6</v>
      </c>
      <c r="X335">
        <f>2*4.5</f>
        <v>9</v>
      </c>
      <c r="Y335">
        <v>1.4</v>
      </c>
      <c r="Z335">
        <v>329</v>
      </c>
      <c r="AA335">
        <v>404</v>
      </c>
      <c r="AD335">
        <v>22.6</v>
      </c>
      <c r="AE335">
        <v>329</v>
      </c>
      <c r="AH335">
        <f>2*4.5</f>
        <v>9</v>
      </c>
      <c r="AI335">
        <v>329</v>
      </c>
      <c r="AL335">
        <v>1.4</v>
      </c>
      <c r="AM335">
        <v>329</v>
      </c>
      <c r="AP335">
        <v>22.6</v>
      </c>
      <c r="AQ335">
        <v>404</v>
      </c>
      <c r="AT335">
        <f>2*4.5</f>
        <v>9</v>
      </c>
      <c r="AU335">
        <v>404</v>
      </c>
      <c r="AX335">
        <v>1.4</v>
      </c>
      <c r="AY335">
        <v>404</v>
      </c>
    </row>
    <row r="336" spans="1:51" x14ac:dyDescent="0.3">
      <c r="A336" s="1">
        <v>44896</v>
      </c>
      <c r="B336">
        <v>22.3</v>
      </c>
      <c r="C336">
        <f>2*7.8</f>
        <v>15.6</v>
      </c>
      <c r="D336">
        <v>26.2</v>
      </c>
      <c r="E336">
        <f t="shared" si="15"/>
        <v>4</v>
      </c>
      <c r="F336">
        <f t="shared" si="16"/>
        <v>4</v>
      </c>
      <c r="G336">
        <f t="shared" si="17"/>
        <v>0</v>
      </c>
      <c r="V336" s="1">
        <v>44896</v>
      </c>
      <c r="W336">
        <v>22.3</v>
      </c>
      <c r="X336">
        <f>2*7.8</f>
        <v>15.6</v>
      </c>
      <c r="Y336">
        <v>26.2</v>
      </c>
      <c r="Z336">
        <v>70</v>
      </c>
      <c r="AA336">
        <v>65</v>
      </c>
      <c r="AD336">
        <v>22.3</v>
      </c>
      <c r="AE336">
        <v>70</v>
      </c>
      <c r="AH336">
        <f>2*7.8</f>
        <v>15.6</v>
      </c>
      <c r="AI336">
        <v>70</v>
      </c>
      <c r="AL336">
        <v>26.2</v>
      </c>
      <c r="AM336">
        <v>70</v>
      </c>
      <c r="AP336">
        <v>22.3</v>
      </c>
      <c r="AQ336">
        <v>65</v>
      </c>
      <c r="AT336">
        <f>2*7.8</f>
        <v>15.6</v>
      </c>
      <c r="AU336">
        <v>65</v>
      </c>
      <c r="AX336">
        <v>26.2</v>
      </c>
      <c r="AY336">
        <v>65</v>
      </c>
    </row>
    <row r="337" spans="1:51" x14ac:dyDescent="0.3">
      <c r="A337" s="1">
        <v>44897</v>
      </c>
      <c r="B337">
        <v>25.2</v>
      </c>
      <c r="C337">
        <v>17.8</v>
      </c>
      <c r="D337">
        <v>15.2</v>
      </c>
      <c r="E337">
        <f t="shared" si="15"/>
        <v>4</v>
      </c>
      <c r="F337">
        <f t="shared" si="16"/>
        <v>4</v>
      </c>
      <c r="G337">
        <f t="shared" si="17"/>
        <v>0</v>
      </c>
      <c r="V337" s="1">
        <v>44897</v>
      </c>
      <c r="W337">
        <v>25.2</v>
      </c>
      <c r="X337">
        <v>17.8</v>
      </c>
      <c r="Y337">
        <v>15.2</v>
      </c>
      <c r="Z337">
        <v>475</v>
      </c>
      <c r="AA337">
        <v>415</v>
      </c>
      <c r="AD337">
        <v>25.2</v>
      </c>
      <c r="AE337">
        <v>475</v>
      </c>
      <c r="AH337">
        <v>17.8</v>
      </c>
      <c r="AI337">
        <v>475</v>
      </c>
      <c r="AL337">
        <v>15.2</v>
      </c>
      <c r="AM337">
        <v>475</v>
      </c>
      <c r="AP337">
        <v>25.2</v>
      </c>
      <c r="AQ337">
        <v>415</v>
      </c>
      <c r="AT337">
        <v>17.8</v>
      </c>
      <c r="AU337">
        <v>415</v>
      </c>
      <c r="AX337">
        <v>15.2</v>
      </c>
      <c r="AY337">
        <v>415</v>
      </c>
    </row>
    <row r="338" spans="1:51" x14ac:dyDescent="0.3">
      <c r="A338" s="1">
        <v>44898</v>
      </c>
      <c r="B338">
        <v>26.2</v>
      </c>
      <c r="C338">
        <v>23.3</v>
      </c>
      <c r="D338">
        <v>0</v>
      </c>
      <c r="E338">
        <f t="shared" si="15"/>
        <v>4</v>
      </c>
      <c r="F338">
        <f t="shared" si="16"/>
        <v>4</v>
      </c>
      <c r="G338">
        <f t="shared" si="17"/>
        <v>0</v>
      </c>
      <c r="V338" s="1">
        <v>44898</v>
      </c>
      <c r="W338">
        <v>26.2</v>
      </c>
      <c r="X338">
        <v>23.3</v>
      </c>
      <c r="Y338">
        <v>0</v>
      </c>
      <c r="Z338">
        <v>566</v>
      </c>
      <c r="AA338">
        <v>607</v>
      </c>
      <c r="AD338">
        <v>26.2</v>
      </c>
      <c r="AE338">
        <v>566</v>
      </c>
      <c r="AH338">
        <v>23.3</v>
      </c>
      <c r="AI338">
        <v>566</v>
      </c>
      <c r="AL338">
        <v>0</v>
      </c>
      <c r="AM338">
        <v>566</v>
      </c>
      <c r="AP338">
        <v>26.2</v>
      </c>
      <c r="AQ338">
        <v>607</v>
      </c>
      <c r="AT338">
        <v>23.3</v>
      </c>
      <c r="AU338">
        <v>607</v>
      </c>
      <c r="AX338">
        <v>0</v>
      </c>
      <c r="AY338">
        <v>607</v>
      </c>
    </row>
    <row r="339" spans="1:51" x14ac:dyDescent="0.3">
      <c r="A339" s="1">
        <v>44899</v>
      </c>
      <c r="B339">
        <v>26.6</v>
      </c>
      <c r="C339">
        <v>21.9</v>
      </c>
      <c r="D339">
        <v>0.2</v>
      </c>
      <c r="E339">
        <f t="shared" si="15"/>
        <v>4</v>
      </c>
      <c r="F339">
        <f t="shared" si="16"/>
        <v>4</v>
      </c>
      <c r="G339">
        <f t="shared" si="17"/>
        <v>0</v>
      </c>
      <c r="V339" s="1">
        <v>44899</v>
      </c>
      <c r="W339">
        <v>26.6</v>
      </c>
      <c r="X339">
        <v>21.9</v>
      </c>
      <c r="Y339">
        <v>0.2</v>
      </c>
      <c r="Z339">
        <v>605</v>
      </c>
      <c r="AA339">
        <v>635</v>
      </c>
      <c r="AD339">
        <v>26.6</v>
      </c>
      <c r="AE339">
        <v>605</v>
      </c>
      <c r="AH339">
        <v>21.9</v>
      </c>
      <c r="AI339">
        <v>605</v>
      </c>
      <c r="AL339">
        <v>0.2</v>
      </c>
      <c r="AM339">
        <v>605</v>
      </c>
      <c r="AP339">
        <v>26.6</v>
      </c>
      <c r="AQ339">
        <v>635</v>
      </c>
      <c r="AT339">
        <v>21.9</v>
      </c>
      <c r="AU339">
        <v>635</v>
      </c>
      <c r="AX339">
        <v>0.2</v>
      </c>
      <c r="AY339">
        <v>635</v>
      </c>
    </row>
    <row r="340" spans="1:51" x14ac:dyDescent="0.3">
      <c r="A340" s="1">
        <v>44900</v>
      </c>
      <c r="B340">
        <v>29.2</v>
      </c>
      <c r="C340">
        <v>28.7</v>
      </c>
      <c r="D340">
        <v>0</v>
      </c>
      <c r="E340">
        <f t="shared" si="15"/>
        <v>4</v>
      </c>
      <c r="F340">
        <f t="shared" si="16"/>
        <v>4</v>
      </c>
      <c r="G340">
        <f t="shared" si="17"/>
        <v>0</v>
      </c>
      <c r="V340" s="1">
        <v>44900</v>
      </c>
      <c r="W340">
        <v>29.2</v>
      </c>
      <c r="X340">
        <v>28.7</v>
      </c>
      <c r="Y340">
        <v>0</v>
      </c>
      <c r="Z340">
        <v>446</v>
      </c>
      <c r="AA340">
        <v>425</v>
      </c>
      <c r="AD340">
        <v>29.2</v>
      </c>
      <c r="AE340">
        <v>446</v>
      </c>
      <c r="AH340">
        <v>28.7</v>
      </c>
      <c r="AI340">
        <v>446</v>
      </c>
      <c r="AL340">
        <v>0</v>
      </c>
      <c r="AM340">
        <v>446</v>
      </c>
      <c r="AP340">
        <v>29.2</v>
      </c>
      <c r="AQ340">
        <v>425</v>
      </c>
      <c r="AT340">
        <v>28.7</v>
      </c>
      <c r="AU340">
        <v>425</v>
      </c>
      <c r="AX340">
        <v>0</v>
      </c>
      <c r="AY340">
        <v>425</v>
      </c>
    </row>
    <row r="341" spans="1:51" x14ac:dyDescent="0.3">
      <c r="A341" s="1">
        <v>44901</v>
      </c>
      <c r="B341">
        <v>35.4</v>
      </c>
      <c r="C341">
        <v>30.9</v>
      </c>
      <c r="D341">
        <v>0</v>
      </c>
      <c r="E341">
        <f t="shared" si="15"/>
        <v>4</v>
      </c>
      <c r="F341">
        <f t="shared" si="16"/>
        <v>4</v>
      </c>
      <c r="G341">
        <f t="shared" si="17"/>
        <v>0</v>
      </c>
      <c r="V341" s="1">
        <v>44901</v>
      </c>
      <c r="W341">
        <v>35.4</v>
      </c>
      <c r="X341">
        <v>30.9</v>
      </c>
      <c r="Y341">
        <v>0</v>
      </c>
      <c r="Z341">
        <v>422</v>
      </c>
      <c r="AA341">
        <v>556</v>
      </c>
      <c r="AD341">
        <v>35.4</v>
      </c>
      <c r="AE341">
        <v>422</v>
      </c>
      <c r="AH341">
        <v>30.9</v>
      </c>
      <c r="AI341">
        <v>422</v>
      </c>
      <c r="AL341">
        <v>0</v>
      </c>
      <c r="AM341">
        <v>422</v>
      </c>
      <c r="AP341">
        <v>35.4</v>
      </c>
      <c r="AQ341">
        <v>556</v>
      </c>
      <c r="AT341">
        <v>30.9</v>
      </c>
      <c r="AU341">
        <v>556</v>
      </c>
      <c r="AX341">
        <v>0</v>
      </c>
      <c r="AY341">
        <v>556</v>
      </c>
    </row>
    <row r="342" spans="1:51" x14ac:dyDescent="0.3">
      <c r="A342" s="1">
        <v>44902</v>
      </c>
      <c r="B342">
        <v>30</v>
      </c>
      <c r="C342">
        <v>30.9</v>
      </c>
      <c r="D342">
        <v>0</v>
      </c>
      <c r="E342">
        <f t="shared" si="15"/>
        <v>4</v>
      </c>
      <c r="F342">
        <f t="shared" si="16"/>
        <v>4</v>
      </c>
      <c r="G342">
        <f t="shared" si="17"/>
        <v>0</v>
      </c>
      <c r="V342" s="1">
        <v>44902</v>
      </c>
      <c r="W342">
        <v>30</v>
      </c>
      <c r="X342">
        <v>30.9</v>
      </c>
      <c r="Y342">
        <v>0</v>
      </c>
      <c r="Z342">
        <v>488</v>
      </c>
      <c r="AA342">
        <v>541</v>
      </c>
      <c r="AD342">
        <v>30</v>
      </c>
      <c r="AE342">
        <v>488</v>
      </c>
      <c r="AH342">
        <v>30.9</v>
      </c>
      <c r="AI342">
        <v>488</v>
      </c>
      <c r="AL342">
        <v>0</v>
      </c>
      <c r="AM342">
        <v>488</v>
      </c>
      <c r="AP342">
        <v>30</v>
      </c>
      <c r="AQ342">
        <v>541</v>
      </c>
      <c r="AT342">
        <v>30.9</v>
      </c>
      <c r="AU342">
        <v>541</v>
      </c>
      <c r="AX342">
        <v>0</v>
      </c>
      <c r="AY342">
        <v>541</v>
      </c>
    </row>
    <row r="343" spans="1:51" x14ac:dyDescent="0.3">
      <c r="A343" s="1">
        <v>44903</v>
      </c>
      <c r="B343">
        <v>29.8</v>
      </c>
      <c r="C343">
        <v>29</v>
      </c>
      <c r="D343">
        <v>29.8</v>
      </c>
      <c r="E343">
        <f t="shared" si="15"/>
        <v>4</v>
      </c>
      <c r="F343">
        <f t="shared" si="16"/>
        <v>4</v>
      </c>
      <c r="G343">
        <f t="shared" si="17"/>
        <v>0</v>
      </c>
      <c r="V343" s="1">
        <v>44903</v>
      </c>
      <c r="W343">
        <v>29.8</v>
      </c>
      <c r="X343">
        <v>29</v>
      </c>
      <c r="Y343">
        <v>29.8</v>
      </c>
      <c r="Z343">
        <v>215</v>
      </c>
      <c r="AA343">
        <v>195</v>
      </c>
      <c r="AD343">
        <v>29.8</v>
      </c>
      <c r="AE343">
        <v>215</v>
      </c>
      <c r="AH343">
        <v>29</v>
      </c>
      <c r="AI343">
        <v>215</v>
      </c>
      <c r="AL343">
        <v>29.8</v>
      </c>
      <c r="AM343">
        <v>215</v>
      </c>
      <c r="AP343">
        <v>29.8</v>
      </c>
      <c r="AQ343">
        <v>195</v>
      </c>
      <c r="AT343">
        <v>29</v>
      </c>
      <c r="AU343">
        <v>195</v>
      </c>
      <c r="AX343">
        <v>29.8</v>
      </c>
      <c r="AY343">
        <v>195</v>
      </c>
    </row>
    <row r="344" spans="1:51" x14ac:dyDescent="0.3">
      <c r="A344" s="1">
        <v>44904</v>
      </c>
      <c r="B344">
        <v>26.5</v>
      </c>
      <c r="C344">
        <v>21.5</v>
      </c>
      <c r="D344">
        <v>0</v>
      </c>
      <c r="E344">
        <f t="shared" si="15"/>
        <v>4</v>
      </c>
      <c r="F344">
        <f t="shared" si="16"/>
        <v>4</v>
      </c>
      <c r="G344">
        <f t="shared" si="17"/>
        <v>0</v>
      </c>
      <c r="V344" s="1">
        <v>44904</v>
      </c>
      <c r="W344">
        <v>26.5</v>
      </c>
      <c r="X344">
        <v>21.5</v>
      </c>
      <c r="Y344">
        <v>0</v>
      </c>
      <c r="Z344">
        <v>708</v>
      </c>
      <c r="AA344">
        <v>582</v>
      </c>
      <c r="AD344">
        <v>26.5</v>
      </c>
      <c r="AE344">
        <v>708</v>
      </c>
      <c r="AH344">
        <v>21.5</v>
      </c>
      <c r="AI344">
        <v>708</v>
      </c>
      <c r="AL344">
        <v>0</v>
      </c>
      <c r="AM344">
        <v>708</v>
      </c>
      <c r="AP344">
        <v>26.5</v>
      </c>
      <c r="AQ344">
        <v>582</v>
      </c>
      <c r="AT344">
        <v>21.5</v>
      </c>
      <c r="AU344">
        <v>582</v>
      </c>
      <c r="AX344">
        <v>0</v>
      </c>
      <c r="AY344">
        <v>582</v>
      </c>
    </row>
    <row r="345" spans="1:51" x14ac:dyDescent="0.3">
      <c r="A345" s="1">
        <v>44905</v>
      </c>
      <c r="B345">
        <v>26.1</v>
      </c>
      <c r="C345">
        <v>19.600000000000001</v>
      </c>
      <c r="D345">
        <v>0</v>
      </c>
      <c r="E345">
        <f t="shared" si="15"/>
        <v>4</v>
      </c>
      <c r="F345">
        <f t="shared" si="16"/>
        <v>4</v>
      </c>
      <c r="G345">
        <f t="shared" si="17"/>
        <v>0</v>
      </c>
      <c r="V345" s="1">
        <v>44905</v>
      </c>
      <c r="W345">
        <v>26.1</v>
      </c>
      <c r="X345">
        <v>19.600000000000001</v>
      </c>
      <c r="Y345">
        <v>0</v>
      </c>
      <c r="Z345">
        <v>573</v>
      </c>
      <c r="AA345">
        <v>611</v>
      </c>
      <c r="AD345">
        <v>26.1</v>
      </c>
      <c r="AE345">
        <v>573</v>
      </c>
      <c r="AH345">
        <v>19.600000000000001</v>
      </c>
      <c r="AI345">
        <v>573</v>
      </c>
      <c r="AL345">
        <v>0</v>
      </c>
      <c r="AM345">
        <v>573</v>
      </c>
      <c r="AP345">
        <v>26.1</v>
      </c>
      <c r="AQ345">
        <v>611</v>
      </c>
      <c r="AT345">
        <v>19.600000000000001</v>
      </c>
      <c r="AU345">
        <v>611</v>
      </c>
      <c r="AX345">
        <v>0</v>
      </c>
      <c r="AY345">
        <v>611</v>
      </c>
    </row>
    <row r="346" spans="1:51" x14ac:dyDescent="0.3">
      <c r="A346" s="1">
        <v>44906</v>
      </c>
      <c r="B346">
        <v>27.6</v>
      </c>
      <c r="C346">
        <v>28.9</v>
      </c>
      <c r="D346">
        <v>0</v>
      </c>
      <c r="E346">
        <f t="shared" si="15"/>
        <v>4</v>
      </c>
      <c r="F346">
        <f t="shared" si="16"/>
        <v>4</v>
      </c>
      <c r="G346">
        <f t="shared" si="17"/>
        <v>0</v>
      </c>
      <c r="V346" s="1">
        <v>44906</v>
      </c>
      <c r="W346">
        <v>27.6</v>
      </c>
      <c r="X346">
        <v>28.9</v>
      </c>
      <c r="Y346">
        <v>0</v>
      </c>
      <c r="Z346">
        <v>568</v>
      </c>
      <c r="AA346">
        <v>661</v>
      </c>
      <c r="AD346">
        <v>27.6</v>
      </c>
      <c r="AE346">
        <v>568</v>
      </c>
      <c r="AH346">
        <v>28.9</v>
      </c>
      <c r="AI346">
        <v>568</v>
      </c>
      <c r="AL346">
        <v>0</v>
      </c>
      <c r="AM346">
        <v>568</v>
      </c>
      <c r="AP346">
        <v>27.6</v>
      </c>
      <c r="AQ346">
        <v>661</v>
      </c>
      <c r="AT346">
        <v>28.9</v>
      </c>
      <c r="AU346">
        <v>661</v>
      </c>
      <c r="AX346">
        <v>0</v>
      </c>
      <c r="AY346">
        <v>661</v>
      </c>
    </row>
    <row r="347" spans="1:51" x14ac:dyDescent="0.3">
      <c r="A347" s="1">
        <v>44907</v>
      </c>
      <c r="B347">
        <v>29.6</v>
      </c>
      <c r="C347">
        <v>27.5</v>
      </c>
      <c r="D347">
        <v>0</v>
      </c>
      <c r="E347">
        <f t="shared" si="15"/>
        <v>4</v>
      </c>
      <c r="F347">
        <f t="shared" si="16"/>
        <v>4</v>
      </c>
      <c r="G347">
        <f t="shared" si="17"/>
        <v>0</v>
      </c>
      <c r="V347" s="1">
        <v>44907</v>
      </c>
      <c r="W347">
        <v>29.6</v>
      </c>
      <c r="X347">
        <v>27.5</v>
      </c>
      <c r="Y347">
        <v>0</v>
      </c>
      <c r="Z347">
        <v>410</v>
      </c>
      <c r="AA347">
        <v>429</v>
      </c>
      <c r="AD347">
        <v>29.6</v>
      </c>
      <c r="AE347">
        <v>410</v>
      </c>
      <c r="AH347">
        <v>27.5</v>
      </c>
      <c r="AI347">
        <v>410</v>
      </c>
      <c r="AL347">
        <v>0</v>
      </c>
      <c r="AM347">
        <v>410</v>
      </c>
      <c r="AP347">
        <v>29.6</v>
      </c>
      <c r="AQ347">
        <v>429</v>
      </c>
      <c r="AT347">
        <v>27.5</v>
      </c>
      <c r="AU347">
        <v>429</v>
      </c>
      <c r="AX347">
        <v>0</v>
      </c>
      <c r="AY347">
        <v>429</v>
      </c>
    </row>
    <row r="348" spans="1:51" x14ac:dyDescent="0.3">
      <c r="A348" s="1">
        <v>44908</v>
      </c>
      <c r="B348">
        <v>30.9</v>
      </c>
      <c r="C348">
        <v>21.3</v>
      </c>
      <c r="D348">
        <v>4.2</v>
      </c>
      <c r="E348">
        <f t="shared" si="15"/>
        <v>4</v>
      </c>
      <c r="F348">
        <f t="shared" si="16"/>
        <v>4</v>
      </c>
      <c r="G348">
        <f t="shared" si="17"/>
        <v>0</v>
      </c>
      <c r="V348" s="1">
        <v>44908</v>
      </c>
      <c r="W348">
        <v>30.9</v>
      </c>
      <c r="X348">
        <v>21.3</v>
      </c>
      <c r="Y348">
        <v>4.2</v>
      </c>
      <c r="Z348">
        <v>555</v>
      </c>
      <c r="AA348">
        <v>548</v>
      </c>
      <c r="AD348">
        <v>30.9</v>
      </c>
      <c r="AE348">
        <v>555</v>
      </c>
      <c r="AH348">
        <v>21.3</v>
      </c>
      <c r="AI348">
        <v>555</v>
      </c>
      <c r="AL348">
        <v>4.2</v>
      </c>
      <c r="AM348">
        <v>555</v>
      </c>
      <c r="AP348">
        <v>30.9</v>
      </c>
      <c r="AQ348">
        <v>548</v>
      </c>
      <c r="AT348">
        <v>21.3</v>
      </c>
      <c r="AU348">
        <v>548</v>
      </c>
      <c r="AX348">
        <v>4.2</v>
      </c>
      <c r="AY348">
        <v>548</v>
      </c>
    </row>
    <row r="349" spans="1:51" x14ac:dyDescent="0.3">
      <c r="A349" s="1">
        <v>44909</v>
      </c>
      <c r="B349">
        <v>32.799999999999997</v>
      </c>
      <c r="C349">
        <v>30.6</v>
      </c>
      <c r="D349">
        <v>0</v>
      </c>
      <c r="E349">
        <f t="shared" si="15"/>
        <v>4</v>
      </c>
      <c r="F349">
        <f t="shared" si="16"/>
        <v>4</v>
      </c>
      <c r="G349">
        <f t="shared" si="17"/>
        <v>0</v>
      </c>
      <c r="V349" s="1">
        <v>44909</v>
      </c>
      <c r="W349">
        <v>32.799999999999997</v>
      </c>
      <c r="X349">
        <v>30.6</v>
      </c>
      <c r="Y349">
        <v>0</v>
      </c>
      <c r="Z349">
        <v>489</v>
      </c>
      <c r="AA349">
        <v>534</v>
      </c>
      <c r="AD349">
        <v>32.799999999999997</v>
      </c>
      <c r="AE349">
        <v>489</v>
      </c>
      <c r="AH349">
        <v>30.6</v>
      </c>
      <c r="AI349">
        <v>489</v>
      </c>
      <c r="AL349">
        <v>0</v>
      </c>
      <c r="AM349">
        <v>489</v>
      </c>
      <c r="AP349">
        <v>32.799999999999997</v>
      </c>
      <c r="AQ349">
        <v>534</v>
      </c>
      <c r="AT349">
        <v>30.6</v>
      </c>
      <c r="AU349">
        <v>534</v>
      </c>
      <c r="AX349">
        <v>0</v>
      </c>
      <c r="AY349">
        <v>534</v>
      </c>
    </row>
    <row r="350" spans="1:51" x14ac:dyDescent="0.3">
      <c r="A350" s="1">
        <v>44910</v>
      </c>
      <c r="B350">
        <v>29.2</v>
      </c>
      <c r="C350">
        <v>25.3</v>
      </c>
      <c r="D350">
        <v>0</v>
      </c>
      <c r="E350">
        <f t="shared" si="15"/>
        <v>4</v>
      </c>
      <c r="F350">
        <f t="shared" si="16"/>
        <v>4</v>
      </c>
      <c r="G350">
        <f t="shared" si="17"/>
        <v>0</v>
      </c>
      <c r="V350" s="1">
        <v>44910</v>
      </c>
      <c r="W350">
        <v>29.2</v>
      </c>
      <c r="X350">
        <v>25.3</v>
      </c>
      <c r="Y350">
        <v>0</v>
      </c>
      <c r="Z350">
        <v>545</v>
      </c>
      <c r="AA350">
        <v>513</v>
      </c>
      <c r="AD350">
        <v>29.2</v>
      </c>
      <c r="AE350">
        <v>545</v>
      </c>
      <c r="AH350">
        <v>25.3</v>
      </c>
      <c r="AI350">
        <v>545</v>
      </c>
      <c r="AL350">
        <v>0</v>
      </c>
      <c r="AM350">
        <v>545</v>
      </c>
      <c r="AP350">
        <v>29.2</v>
      </c>
      <c r="AQ350">
        <v>513</v>
      </c>
      <c r="AT350">
        <v>25.3</v>
      </c>
      <c r="AU350">
        <v>513</v>
      </c>
      <c r="AX350">
        <v>0</v>
      </c>
      <c r="AY350">
        <v>513</v>
      </c>
    </row>
    <row r="351" spans="1:51" x14ac:dyDescent="0.3">
      <c r="A351" s="1">
        <v>44911</v>
      </c>
      <c r="B351">
        <v>27.3</v>
      </c>
      <c r="C351">
        <v>25.7</v>
      </c>
      <c r="D351">
        <v>1.8</v>
      </c>
      <c r="E351">
        <f t="shared" si="15"/>
        <v>4</v>
      </c>
      <c r="F351">
        <f t="shared" si="16"/>
        <v>4</v>
      </c>
      <c r="G351">
        <f t="shared" si="17"/>
        <v>0</v>
      </c>
      <c r="V351" s="1">
        <v>44911</v>
      </c>
      <c r="W351">
        <v>27.3</v>
      </c>
      <c r="X351">
        <v>25.7</v>
      </c>
      <c r="Y351">
        <v>1.8</v>
      </c>
      <c r="Z351">
        <v>645</v>
      </c>
      <c r="AA351">
        <v>576</v>
      </c>
      <c r="AD351">
        <v>27.3</v>
      </c>
      <c r="AE351">
        <v>645</v>
      </c>
      <c r="AH351">
        <v>25.7</v>
      </c>
      <c r="AI351">
        <v>645</v>
      </c>
      <c r="AL351">
        <v>1.8</v>
      </c>
      <c r="AM351">
        <v>645</v>
      </c>
      <c r="AP351">
        <v>27.3</v>
      </c>
      <c r="AQ351">
        <v>576</v>
      </c>
      <c r="AT351">
        <v>25.7</v>
      </c>
      <c r="AU351">
        <v>576</v>
      </c>
      <c r="AX351">
        <v>1.8</v>
      </c>
      <c r="AY351">
        <v>576</v>
      </c>
    </row>
    <row r="352" spans="1:51" x14ac:dyDescent="0.3">
      <c r="A352" s="1">
        <v>44912</v>
      </c>
      <c r="B352">
        <v>26.5</v>
      </c>
      <c r="C352">
        <v>24.8</v>
      </c>
      <c r="D352">
        <v>0.4</v>
      </c>
      <c r="E352">
        <f t="shared" si="15"/>
        <v>4</v>
      </c>
      <c r="F352">
        <f t="shared" si="16"/>
        <v>4</v>
      </c>
      <c r="G352">
        <f t="shared" si="17"/>
        <v>0</v>
      </c>
      <c r="V352" s="1">
        <v>44912</v>
      </c>
      <c r="W352">
        <v>26.5</v>
      </c>
      <c r="X352">
        <v>24.8</v>
      </c>
      <c r="Y352">
        <v>0.4</v>
      </c>
      <c r="Z352">
        <v>655</v>
      </c>
      <c r="AA352">
        <v>631</v>
      </c>
      <c r="AD352">
        <v>26.5</v>
      </c>
      <c r="AE352">
        <v>655</v>
      </c>
      <c r="AH352">
        <v>24.8</v>
      </c>
      <c r="AI352">
        <v>655</v>
      </c>
      <c r="AL352">
        <v>0.4</v>
      </c>
      <c r="AM352">
        <v>655</v>
      </c>
      <c r="AP352">
        <v>26.5</v>
      </c>
      <c r="AQ352">
        <v>631</v>
      </c>
      <c r="AT352">
        <v>24.8</v>
      </c>
      <c r="AU352">
        <v>631</v>
      </c>
      <c r="AX352">
        <v>0.4</v>
      </c>
      <c r="AY352">
        <v>631</v>
      </c>
    </row>
    <row r="353" spans="1:51" x14ac:dyDescent="0.3">
      <c r="A353" s="1">
        <v>44913</v>
      </c>
      <c r="B353">
        <v>27.1</v>
      </c>
      <c r="C353">
        <v>25</v>
      </c>
      <c r="D353">
        <v>0</v>
      </c>
      <c r="E353">
        <f t="shared" si="15"/>
        <v>4</v>
      </c>
      <c r="F353">
        <f t="shared" si="16"/>
        <v>4</v>
      </c>
      <c r="G353">
        <f t="shared" si="17"/>
        <v>0</v>
      </c>
      <c r="V353" s="1">
        <v>44913</v>
      </c>
      <c r="W353">
        <v>27.1</v>
      </c>
      <c r="X353">
        <v>25</v>
      </c>
      <c r="Y353">
        <v>0</v>
      </c>
      <c r="Z353">
        <v>901</v>
      </c>
      <c r="AA353">
        <v>585</v>
      </c>
      <c r="AD353">
        <v>27.1</v>
      </c>
      <c r="AE353">
        <v>901</v>
      </c>
      <c r="AH353">
        <v>25</v>
      </c>
      <c r="AI353">
        <v>901</v>
      </c>
      <c r="AL353">
        <v>0</v>
      </c>
      <c r="AM353">
        <v>901</v>
      </c>
      <c r="AP353">
        <v>27.1</v>
      </c>
      <c r="AQ353">
        <v>585</v>
      </c>
      <c r="AT353">
        <v>25</v>
      </c>
      <c r="AU353">
        <v>585</v>
      </c>
      <c r="AX353">
        <v>0</v>
      </c>
      <c r="AY353">
        <v>585</v>
      </c>
    </row>
    <row r="354" spans="1:51" x14ac:dyDescent="0.3">
      <c r="A354" s="1">
        <v>44914</v>
      </c>
      <c r="B354">
        <v>26.4</v>
      </c>
      <c r="C354">
        <v>24.6</v>
      </c>
      <c r="D354">
        <v>0</v>
      </c>
      <c r="E354">
        <f t="shared" si="15"/>
        <v>4</v>
      </c>
      <c r="F354">
        <f t="shared" si="16"/>
        <v>4</v>
      </c>
      <c r="G354">
        <f t="shared" si="17"/>
        <v>0</v>
      </c>
      <c r="V354" s="1">
        <v>44914</v>
      </c>
      <c r="W354">
        <v>26.4</v>
      </c>
      <c r="X354">
        <v>24.6</v>
      </c>
      <c r="Y354">
        <v>0</v>
      </c>
      <c r="Z354">
        <v>485</v>
      </c>
      <c r="AA354">
        <v>398</v>
      </c>
      <c r="AD354">
        <v>26.4</v>
      </c>
      <c r="AE354">
        <v>485</v>
      </c>
      <c r="AH354">
        <v>24.6</v>
      </c>
      <c r="AI354">
        <v>485</v>
      </c>
      <c r="AL354">
        <v>0</v>
      </c>
      <c r="AM354">
        <v>485</v>
      </c>
      <c r="AP354">
        <v>26.4</v>
      </c>
      <c r="AQ354">
        <v>398</v>
      </c>
      <c r="AT354">
        <v>24.6</v>
      </c>
      <c r="AU354">
        <v>398</v>
      </c>
      <c r="AX354">
        <v>0</v>
      </c>
      <c r="AY354">
        <v>398</v>
      </c>
    </row>
    <row r="355" spans="1:51" x14ac:dyDescent="0.3">
      <c r="A355" s="1">
        <v>44915</v>
      </c>
      <c r="B355">
        <v>27.1</v>
      </c>
      <c r="C355">
        <v>27.1</v>
      </c>
      <c r="D355">
        <v>0</v>
      </c>
      <c r="E355">
        <f t="shared" si="15"/>
        <v>4</v>
      </c>
      <c r="F355">
        <f t="shared" si="16"/>
        <v>4</v>
      </c>
      <c r="G355">
        <f t="shared" si="17"/>
        <v>0</v>
      </c>
      <c r="V355" s="1">
        <v>44915</v>
      </c>
      <c r="W355">
        <v>27.1</v>
      </c>
      <c r="X355">
        <v>27.1</v>
      </c>
      <c r="Y355">
        <v>0</v>
      </c>
      <c r="Z355">
        <v>677</v>
      </c>
      <c r="AA355">
        <v>613</v>
      </c>
      <c r="AD355">
        <v>27.1</v>
      </c>
      <c r="AE355">
        <v>677</v>
      </c>
      <c r="AH355">
        <v>27.1</v>
      </c>
      <c r="AI355">
        <v>677</v>
      </c>
      <c r="AL355">
        <v>0</v>
      </c>
      <c r="AM355">
        <v>677</v>
      </c>
      <c r="AP355">
        <v>27.1</v>
      </c>
      <c r="AQ355">
        <v>613</v>
      </c>
      <c r="AT355">
        <v>27.1</v>
      </c>
      <c r="AU355">
        <v>613</v>
      </c>
      <c r="AX355">
        <v>0</v>
      </c>
      <c r="AY355">
        <v>613</v>
      </c>
    </row>
    <row r="356" spans="1:51" x14ac:dyDescent="0.3">
      <c r="A356" s="1">
        <v>44916</v>
      </c>
      <c r="B356">
        <v>27.4</v>
      </c>
      <c r="C356">
        <v>23.6</v>
      </c>
      <c r="D356">
        <v>0</v>
      </c>
      <c r="E356">
        <f t="shared" si="15"/>
        <v>4</v>
      </c>
      <c r="F356">
        <f t="shared" si="16"/>
        <v>4</v>
      </c>
      <c r="G356">
        <f t="shared" si="17"/>
        <v>0</v>
      </c>
      <c r="V356" s="1">
        <v>44916</v>
      </c>
      <c r="W356">
        <v>27.4</v>
      </c>
      <c r="X356">
        <v>23.6</v>
      </c>
      <c r="Y356">
        <v>0</v>
      </c>
      <c r="Z356">
        <v>654</v>
      </c>
      <c r="AA356">
        <v>597</v>
      </c>
      <c r="AD356">
        <v>27.4</v>
      </c>
      <c r="AE356">
        <v>654</v>
      </c>
      <c r="AH356">
        <v>23.6</v>
      </c>
      <c r="AI356">
        <v>654</v>
      </c>
      <c r="AL356">
        <v>0</v>
      </c>
      <c r="AM356">
        <v>654</v>
      </c>
      <c r="AP356">
        <v>27.4</v>
      </c>
      <c r="AQ356">
        <v>597</v>
      </c>
      <c r="AT356">
        <v>23.6</v>
      </c>
      <c r="AU356">
        <v>597</v>
      </c>
      <c r="AX356">
        <v>0</v>
      </c>
      <c r="AY356">
        <v>597</v>
      </c>
    </row>
    <row r="357" spans="1:51" x14ac:dyDescent="0.3">
      <c r="A357" s="1">
        <v>44917</v>
      </c>
      <c r="B357">
        <v>26.8</v>
      </c>
      <c r="C357">
        <v>40</v>
      </c>
      <c r="D357">
        <v>0</v>
      </c>
      <c r="E357">
        <f t="shared" si="15"/>
        <v>4</v>
      </c>
      <c r="F357">
        <f t="shared" si="16"/>
        <v>4</v>
      </c>
      <c r="G357">
        <f t="shared" si="17"/>
        <v>0</v>
      </c>
      <c r="V357" s="1">
        <v>44917</v>
      </c>
      <c r="W357">
        <v>26.8</v>
      </c>
      <c r="X357">
        <v>40</v>
      </c>
      <c r="Y357">
        <v>0</v>
      </c>
      <c r="Z357">
        <v>696</v>
      </c>
      <c r="AA357">
        <v>595</v>
      </c>
      <c r="AD357">
        <v>26.8</v>
      </c>
      <c r="AE357">
        <v>696</v>
      </c>
      <c r="AH357">
        <v>40</v>
      </c>
      <c r="AI357">
        <v>696</v>
      </c>
      <c r="AL357">
        <v>0</v>
      </c>
      <c r="AM357">
        <v>696</v>
      </c>
      <c r="AP357">
        <v>26.8</v>
      </c>
      <c r="AQ357">
        <v>595</v>
      </c>
      <c r="AT357">
        <v>40</v>
      </c>
      <c r="AU357">
        <v>595</v>
      </c>
      <c r="AX357">
        <v>0</v>
      </c>
      <c r="AY357">
        <v>595</v>
      </c>
    </row>
    <row r="358" spans="1:51" x14ac:dyDescent="0.3">
      <c r="A358" s="1">
        <v>44918</v>
      </c>
      <c r="B358">
        <v>29.1</v>
      </c>
      <c r="C358">
        <v>27.2</v>
      </c>
      <c r="D358">
        <v>0</v>
      </c>
      <c r="E358">
        <f t="shared" si="15"/>
        <v>4</v>
      </c>
      <c r="F358">
        <f t="shared" si="16"/>
        <v>4</v>
      </c>
      <c r="G358">
        <f t="shared" si="17"/>
        <v>0</v>
      </c>
      <c r="V358" s="1">
        <v>44918</v>
      </c>
      <c r="W358">
        <v>29.1</v>
      </c>
      <c r="X358">
        <v>27.2</v>
      </c>
      <c r="Y358">
        <v>0</v>
      </c>
      <c r="Z358">
        <v>625</v>
      </c>
      <c r="AA358">
        <v>687</v>
      </c>
      <c r="AD358">
        <v>29.1</v>
      </c>
      <c r="AE358">
        <v>625</v>
      </c>
      <c r="AH358">
        <v>27.2</v>
      </c>
      <c r="AI358">
        <v>625</v>
      </c>
      <c r="AL358">
        <v>0</v>
      </c>
      <c r="AM358">
        <v>625</v>
      </c>
      <c r="AP358">
        <v>29.1</v>
      </c>
      <c r="AQ358">
        <v>687</v>
      </c>
      <c r="AT358">
        <v>27.2</v>
      </c>
      <c r="AU358">
        <v>687</v>
      </c>
      <c r="AX358">
        <v>0</v>
      </c>
      <c r="AY358">
        <v>687</v>
      </c>
    </row>
    <row r="359" spans="1:51" x14ac:dyDescent="0.3">
      <c r="A359" s="1">
        <v>44919</v>
      </c>
      <c r="B359">
        <v>27.7</v>
      </c>
      <c r="C359">
        <f>2*8</f>
        <v>16</v>
      </c>
      <c r="D359">
        <v>0</v>
      </c>
      <c r="E359">
        <f t="shared" si="15"/>
        <v>4</v>
      </c>
      <c r="F359">
        <f t="shared" si="16"/>
        <v>4</v>
      </c>
      <c r="G359">
        <f t="shared" si="17"/>
        <v>0</v>
      </c>
      <c r="V359" s="1">
        <v>44919</v>
      </c>
      <c r="W359">
        <v>27.7</v>
      </c>
      <c r="X359">
        <f>2*8</f>
        <v>16</v>
      </c>
      <c r="Y359">
        <v>0</v>
      </c>
      <c r="Z359">
        <v>536</v>
      </c>
      <c r="AA359">
        <v>617</v>
      </c>
      <c r="AD359">
        <v>27.7</v>
      </c>
      <c r="AE359">
        <v>536</v>
      </c>
      <c r="AH359">
        <f>2*8</f>
        <v>16</v>
      </c>
      <c r="AI359">
        <v>536</v>
      </c>
      <c r="AL359">
        <v>0</v>
      </c>
      <c r="AM359">
        <v>536</v>
      </c>
      <c r="AP359">
        <v>27.7</v>
      </c>
      <c r="AQ359">
        <v>617</v>
      </c>
      <c r="AT359">
        <f>2*8</f>
        <v>16</v>
      </c>
      <c r="AU359">
        <v>617</v>
      </c>
      <c r="AX359">
        <v>0</v>
      </c>
      <c r="AY359">
        <v>617</v>
      </c>
    </row>
    <row r="360" spans="1:51" x14ac:dyDescent="0.3">
      <c r="A360" s="1">
        <v>44920</v>
      </c>
      <c r="B360">
        <v>27.9</v>
      </c>
      <c r="C360">
        <v>16.8</v>
      </c>
      <c r="D360">
        <v>0</v>
      </c>
      <c r="E360">
        <f t="shared" si="15"/>
        <v>4</v>
      </c>
      <c r="F360">
        <f t="shared" si="16"/>
        <v>4</v>
      </c>
      <c r="G360">
        <f t="shared" si="17"/>
        <v>0</v>
      </c>
      <c r="V360" s="1">
        <v>44920</v>
      </c>
      <c r="W360">
        <v>27.9</v>
      </c>
      <c r="X360">
        <v>16.8</v>
      </c>
      <c r="Y360">
        <v>0</v>
      </c>
      <c r="Z360">
        <v>314</v>
      </c>
      <c r="AA360">
        <v>290</v>
      </c>
      <c r="AD360">
        <v>27.9</v>
      </c>
      <c r="AE360">
        <v>314</v>
      </c>
      <c r="AH360">
        <v>16.8</v>
      </c>
      <c r="AI360">
        <v>314</v>
      </c>
      <c r="AL360">
        <v>0</v>
      </c>
      <c r="AM360">
        <v>314</v>
      </c>
      <c r="AP360">
        <v>27.9</v>
      </c>
      <c r="AQ360">
        <v>290</v>
      </c>
      <c r="AT360">
        <v>16.8</v>
      </c>
      <c r="AU360">
        <v>290</v>
      </c>
      <c r="AX360">
        <v>0</v>
      </c>
      <c r="AY360">
        <v>290</v>
      </c>
    </row>
    <row r="361" spans="1:51" x14ac:dyDescent="0.3">
      <c r="A361" s="1">
        <v>44921</v>
      </c>
      <c r="B361">
        <v>28.7</v>
      </c>
      <c r="C361">
        <v>26.8</v>
      </c>
      <c r="D361">
        <v>30.2</v>
      </c>
      <c r="E361">
        <f t="shared" si="15"/>
        <v>4</v>
      </c>
      <c r="F361">
        <f t="shared" si="16"/>
        <v>4</v>
      </c>
      <c r="G361">
        <f t="shared" si="17"/>
        <v>0</v>
      </c>
      <c r="V361" s="1">
        <v>44921</v>
      </c>
      <c r="W361">
        <v>28.7</v>
      </c>
      <c r="X361">
        <v>26.8</v>
      </c>
      <c r="Y361">
        <v>30.2</v>
      </c>
      <c r="Z361">
        <v>510</v>
      </c>
      <c r="AA361">
        <v>380</v>
      </c>
      <c r="AD361">
        <v>28.7</v>
      </c>
      <c r="AE361">
        <v>510</v>
      </c>
      <c r="AH361">
        <v>26.8</v>
      </c>
      <c r="AI361">
        <v>510</v>
      </c>
      <c r="AL361">
        <v>30.2</v>
      </c>
      <c r="AM361">
        <v>510</v>
      </c>
      <c r="AP361">
        <v>28.7</v>
      </c>
      <c r="AQ361">
        <v>380</v>
      </c>
      <c r="AT361">
        <v>26.8</v>
      </c>
      <c r="AU361">
        <v>380</v>
      </c>
      <c r="AX361">
        <v>30.2</v>
      </c>
      <c r="AY361">
        <v>380</v>
      </c>
    </row>
    <row r="362" spans="1:51" x14ac:dyDescent="0.3">
      <c r="A362" s="1">
        <v>44922</v>
      </c>
      <c r="B362">
        <v>28.2</v>
      </c>
      <c r="C362">
        <v>22.3</v>
      </c>
      <c r="D362">
        <v>0.2</v>
      </c>
      <c r="E362">
        <f t="shared" si="15"/>
        <v>4</v>
      </c>
      <c r="F362">
        <f t="shared" si="16"/>
        <v>4</v>
      </c>
      <c r="G362">
        <f t="shared" si="17"/>
        <v>0</v>
      </c>
      <c r="V362" s="1">
        <v>44922</v>
      </c>
      <c r="W362">
        <v>28.2</v>
      </c>
      <c r="X362">
        <v>22.3</v>
      </c>
      <c r="Y362">
        <v>0.2</v>
      </c>
      <c r="Z362">
        <v>501</v>
      </c>
      <c r="AA362">
        <v>410</v>
      </c>
      <c r="AD362">
        <v>28.2</v>
      </c>
      <c r="AE362">
        <v>501</v>
      </c>
      <c r="AH362">
        <v>22.3</v>
      </c>
      <c r="AI362">
        <v>501</v>
      </c>
      <c r="AL362">
        <v>0.2</v>
      </c>
      <c r="AM362">
        <v>501</v>
      </c>
      <c r="AP362">
        <v>28.2</v>
      </c>
      <c r="AQ362">
        <v>410</v>
      </c>
      <c r="AT362">
        <v>22.3</v>
      </c>
      <c r="AU362">
        <v>410</v>
      </c>
      <c r="AX362">
        <v>0.2</v>
      </c>
      <c r="AY362">
        <v>410</v>
      </c>
    </row>
    <row r="363" spans="1:51" x14ac:dyDescent="0.3">
      <c r="A363" s="1">
        <v>44923</v>
      </c>
      <c r="B363">
        <v>28</v>
      </c>
      <c r="C363">
        <v>22.1</v>
      </c>
      <c r="D363">
        <v>0.2</v>
      </c>
      <c r="E363">
        <f t="shared" si="15"/>
        <v>4</v>
      </c>
      <c r="F363">
        <f t="shared" si="16"/>
        <v>4</v>
      </c>
      <c r="G363">
        <f t="shared" si="17"/>
        <v>0</v>
      </c>
      <c r="V363" s="1">
        <v>44923</v>
      </c>
      <c r="W363">
        <v>28</v>
      </c>
      <c r="X363">
        <v>22.1</v>
      </c>
      <c r="Y363">
        <v>0.2</v>
      </c>
      <c r="Z363">
        <v>588</v>
      </c>
      <c r="AA363">
        <v>550</v>
      </c>
      <c r="AD363">
        <v>28</v>
      </c>
      <c r="AE363">
        <v>588</v>
      </c>
      <c r="AH363">
        <v>22.1</v>
      </c>
      <c r="AI363">
        <v>588</v>
      </c>
      <c r="AL363">
        <v>0.2</v>
      </c>
      <c r="AM363">
        <v>588</v>
      </c>
      <c r="AP363">
        <v>28</v>
      </c>
      <c r="AQ363">
        <v>550</v>
      </c>
      <c r="AT363">
        <v>22.1</v>
      </c>
      <c r="AU363">
        <v>550</v>
      </c>
      <c r="AX363">
        <v>0.2</v>
      </c>
      <c r="AY363">
        <v>550</v>
      </c>
    </row>
    <row r="364" spans="1:51" x14ac:dyDescent="0.3">
      <c r="A364" s="1">
        <v>44924</v>
      </c>
      <c r="B364">
        <v>28.1</v>
      </c>
      <c r="C364">
        <v>15.9</v>
      </c>
      <c r="D364">
        <v>0</v>
      </c>
      <c r="E364">
        <f t="shared" si="15"/>
        <v>4</v>
      </c>
      <c r="F364">
        <f t="shared" si="16"/>
        <v>4</v>
      </c>
      <c r="G364">
        <f t="shared" si="17"/>
        <v>0</v>
      </c>
      <c r="V364" s="1">
        <v>44924</v>
      </c>
      <c r="W364">
        <v>28.1</v>
      </c>
      <c r="X364">
        <v>15.9</v>
      </c>
      <c r="Y364">
        <v>0</v>
      </c>
      <c r="Z364">
        <v>515</v>
      </c>
      <c r="AA364">
        <v>486</v>
      </c>
      <c r="AD364">
        <v>28.1</v>
      </c>
      <c r="AE364">
        <v>515</v>
      </c>
      <c r="AH364">
        <v>15.9</v>
      </c>
      <c r="AI364">
        <v>515</v>
      </c>
      <c r="AL364">
        <v>0</v>
      </c>
      <c r="AM364">
        <v>515</v>
      </c>
      <c r="AP364">
        <v>28.1</v>
      </c>
      <c r="AQ364">
        <v>486</v>
      </c>
      <c r="AT364">
        <v>15.9</v>
      </c>
      <c r="AU364">
        <v>486</v>
      </c>
      <c r="AX364">
        <v>0</v>
      </c>
      <c r="AY364">
        <v>486</v>
      </c>
    </row>
    <row r="365" spans="1:51" x14ac:dyDescent="0.3">
      <c r="A365" s="1">
        <v>44925</v>
      </c>
      <c r="B365">
        <v>27.9</v>
      </c>
      <c r="C365">
        <v>17.100000000000001</v>
      </c>
      <c r="D365">
        <v>0.4</v>
      </c>
      <c r="E365">
        <f t="shared" si="15"/>
        <v>4</v>
      </c>
      <c r="F365">
        <f t="shared" si="16"/>
        <v>4</v>
      </c>
      <c r="G365">
        <f t="shared" si="17"/>
        <v>0</v>
      </c>
      <c r="V365" s="1">
        <v>44925</v>
      </c>
      <c r="W365">
        <v>27.9</v>
      </c>
      <c r="X365">
        <v>17.100000000000001</v>
      </c>
      <c r="Y365">
        <v>0.4</v>
      </c>
      <c r="Z365">
        <v>387</v>
      </c>
      <c r="AA365">
        <v>430</v>
      </c>
      <c r="AD365">
        <v>27.9</v>
      </c>
      <c r="AE365">
        <v>387</v>
      </c>
      <c r="AH365">
        <v>17.100000000000001</v>
      </c>
      <c r="AI365">
        <v>387</v>
      </c>
      <c r="AL365">
        <v>0.4</v>
      </c>
      <c r="AM365">
        <v>387</v>
      </c>
      <c r="AP365">
        <v>27.9</v>
      </c>
      <c r="AQ365">
        <v>430</v>
      </c>
      <c r="AT365">
        <v>17.100000000000001</v>
      </c>
      <c r="AU365">
        <v>430</v>
      </c>
      <c r="AX365">
        <v>0.4</v>
      </c>
      <c r="AY365">
        <v>430</v>
      </c>
    </row>
    <row r="366" spans="1:51" x14ac:dyDescent="0.3">
      <c r="A366" s="1">
        <v>44926</v>
      </c>
      <c r="B366">
        <v>28.7</v>
      </c>
      <c r="C366">
        <v>22.9</v>
      </c>
      <c r="D366">
        <v>2.2000000000000002</v>
      </c>
      <c r="E366">
        <f t="shared" si="15"/>
        <v>4</v>
      </c>
      <c r="F366">
        <f t="shared" si="16"/>
        <v>4</v>
      </c>
      <c r="G366">
        <f t="shared" si="17"/>
        <v>0</v>
      </c>
      <c r="V366" s="1">
        <v>44926</v>
      </c>
      <c r="W366">
        <v>28.7</v>
      </c>
      <c r="X366">
        <v>22.9</v>
      </c>
      <c r="Y366">
        <v>2.2000000000000002</v>
      </c>
      <c r="Z366">
        <v>430</v>
      </c>
      <c r="AA366">
        <v>431</v>
      </c>
      <c r="AD366">
        <v>28.7</v>
      </c>
      <c r="AE366">
        <v>430</v>
      </c>
      <c r="AH366">
        <v>22.9</v>
      </c>
      <c r="AI366">
        <v>430</v>
      </c>
      <c r="AL366">
        <v>2.2000000000000002</v>
      </c>
      <c r="AM366">
        <v>430</v>
      </c>
      <c r="AP366">
        <v>28.7</v>
      </c>
      <c r="AQ366">
        <v>431</v>
      </c>
      <c r="AT366">
        <v>22.9</v>
      </c>
      <c r="AU366">
        <v>431</v>
      </c>
      <c r="AX366">
        <v>2.2000000000000002</v>
      </c>
      <c r="AY366">
        <v>431</v>
      </c>
    </row>
    <row r="367" spans="1:51" x14ac:dyDescent="0.3">
      <c r="G367">
        <f>SUM(G2:G366)</f>
        <v>0</v>
      </c>
    </row>
    <row r="368" spans="1:51" x14ac:dyDescent="0.3">
      <c r="A368">
        <f t="shared" ref="A368:G368" si="18">COUNTBLANK(A2:A366)</f>
        <v>0</v>
      </c>
      <c r="B368">
        <f t="shared" si="18"/>
        <v>0</v>
      </c>
      <c r="C368">
        <f t="shared" si="18"/>
        <v>0</v>
      </c>
      <c r="D368">
        <f t="shared" si="18"/>
        <v>0</v>
      </c>
      <c r="E368">
        <f t="shared" si="18"/>
        <v>1</v>
      </c>
      <c r="F368">
        <f t="shared" si="18"/>
        <v>0</v>
      </c>
      <c r="G368">
        <f t="shared" si="18"/>
        <v>0</v>
      </c>
    </row>
    <row r="369" spans="1:4" x14ac:dyDescent="0.3">
      <c r="B369" t="s">
        <v>30</v>
      </c>
      <c r="C369" t="s">
        <v>29</v>
      </c>
      <c r="D369" t="s">
        <v>28</v>
      </c>
    </row>
    <row r="370" spans="1:4" x14ac:dyDescent="0.3">
      <c r="A370" t="s">
        <v>11</v>
      </c>
      <c r="B370">
        <f>MIN(B2:B366)</f>
        <v>14</v>
      </c>
      <c r="C370">
        <f>MIN(C2:C366)</f>
        <v>1.6</v>
      </c>
      <c r="D370">
        <f>MIN(D2:D366)</f>
        <v>0</v>
      </c>
    </row>
    <row r="371" spans="1:4" x14ac:dyDescent="0.3">
      <c r="A371" t="s">
        <v>12</v>
      </c>
      <c r="B371">
        <f>MAX(B2:B366)</f>
        <v>35.5</v>
      </c>
      <c r="C371">
        <f>MAX(C2:C366)</f>
        <v>40</v>
      </c>
      <c r="D371">
        <f>MAX(D2:D366)</f>
        <v>114.2</v>
      </c>
    </row>
    <row r="372" spans="1:4" x14ac:dyDescent="0.3">
      <c r="A372" t="s">
        <v>10</v>
      </c>
      <c r="B372">
        <f>B371-B370</f>
        <v>21.5</v>
      </c>
      <c r="C372">
        <f>C371-C370</f>
        <v>38.4</v>
      </c>
      <c r="D372">
        <f>D371-D370</f>
        <v>114.2</v>
      </c>
    </row>
    <row r="373" spans="1:4" x14ac:dyDescent="0.3">
      <c r="A373" t="s">
        <v>13</v>
      </c>
      <c r="B373">
        <f>AVERAGE(B2:B366)</f>
        <v>25.690410958904131</v>
      </c>
      <c r="C373">
        <f>AVERAGE(C2:C366)</f>
        <v>17.63342465753426</v>
      </c>
      <c r="D373">
        <f>AVERAGE(D2:D366)</f>
        <v>4.7282191780821963</v>
      </c>
    </row>
    <row r="374" spans="1:4" x14ac:dyDescent="0.3">
      <c r="A374" t="s">
        <v>14</v>
      </c>
      <c r="B374">
        <f>MEDIAN(B2:B366)</f>
        <v>26</v>
      </c>
      <c r="C374">
        <f>MEDIAN(C2:C366)</f>
        <v>16.8</v>
      </c>
      <c r="D374">
        <f>MEDIAN(D2:D366)</f>
        <v>0</v>
      </c>
    </row>
    <row r="376" spans="1:4" x14ac:dyDescent="0.3">
      <c r="A376" t="s">
        <v>15</v>
      </c>
      <c r="B376" t="s">
        <v>1</v>
      </c>
      <c r="C376" t="s">
        <v>2</v>
      </c>
      <c r="D376" t="s">
        <v>3</v>
      </c>
    </row>
    <row r="377" spans="1:4" x14ac:dyDescent="0.3">
      <c r="A377" t="s">
        <v>17</v>
      </c>
      <c r="B377">
        <f>_xlfn.STDEV.S(B2:B32)</f>
        <v>1.7087378225569185</v>
      </c>
      <c r="C377">
        <f>_xlfn.STDEV.S(C2:C32)</f>
        <v>5.0699430549706452</v>
      </c>
      <c r="D377">
        <f>_xlfn.STDEV.S(D2:D32)</f>
        <v>4.7993816806052241</v>
      </c>
    </row>
    <row r="378" spans="1:4" x14ac:dyDescent="0.3">
      <c r="A378" t="s">
        <v>16</v>
      </c>
      <c r="B378">
        <f>_xlfn.STDEV.S(B33:B60)</f>
        <v>2.7163331180960868</v>
      </c>
      <c r="C378">
        <f>_xlfn.STDEV.S(C33:C60)</f>
        <v>6.7683085036071091</v>
      </c>
      <c r="D378">
        <f>_xlfn.STDEV.S(D33:D60)</f>
        <v>35.811755777284247</v>
      </c>
    </row>
    <row r="379" spans="1:4" x14ac:dyDescent="0.3">
      <c r="A379" t="s">
        <v>18</v>
      </c>
      <c r="B379">
        <f>_xlfn.STDEV.S(B61:B91)</f>
        <v>2.482385255986626</v>
      </c>
      <c r="C379">
        <f>_xlfn.STDEV.S(C61:C91)</f>
        <v>4.9560194745640249</v>
      </c>
      <c r="D379">
        <f>_xlfn.STDEV.S(D61:D91)</f>
        <v>18.958862086446626</v>
      </c>
    </row>
    <row r="380" spans="1:4" x14ac:dyDescent="0.3">
      <c r="A380" t="s">
        <v>19</v>
      </c>
      <c r="B380">
        <f>_xlfn.STDEV.S(B92:B121)</f>
        <v>2.2435629504526227</v>
      </c>
      <c r="C380">
        <f>_xlfn.STDEV.S(C92:C121)</f>
        <v>2.7889354455670015</v>
      </c>
      <c r="D380">
        <f>_xlfn.STDEV.S(D92:D121)</f>
        <v>3.0762045580160335</v>
      </c>
    </row>
    <row r="381" spans="1:4" x14ac:dyDescent="0.3">
      <c r="A381" t="s">
        <v>20</v>
      </c>
      <c r="B381">
        <f>_xlfn.STDEV.S(B122:B152)</f>
        <v>2.5928603377703361</v>
      </c>
      <c r="C381">
        <f>_xlfn.STDEV.S(C122:C152)</f>
        <v>3.253861229866116</v>
      </c>
      <c r="D381">
        <f>_xlfn.STDEV.S(D122:D152)</f>
        <v>15.13160901549632</v>
      </c>
    </row>
    <row r="382" spans="1:4" x14ac:dyDescent="0.3">
      <c r="A382" t="s">
        <v>21</v>
      </c>
      <c r="B382">
        <f>_xlfn.STDEV.S(B153:B182)</f>
        <v>2.0063233371850444</v>
      </c>
      <c r="C382">
        <f>_xlfn.STDEV.S(C153:C182)</f>
        <v>1.4700887454641478</v>
      </c>
      <c r="D382">
        <f>_xlfn.STDEV.S(D153:D182)</f>
        <v>1.2896760708860546</v>
      </c>
    </row>
    <row r="383" spans="1:4" x14ac:dyDescent="0.3">
      <c r="A383" t="s">
        <v>22</v>
      </c>
      <c r="B383">
        <f>_xlfn.STDEV.S(B183:B213)</f>
        <v>2.461239306676851</v>
      </c>
      <c r="C383">
        <f>_xlfn.STDEV.S(C183:C213)</f>
        <v>3.5381819035764339</v>
      </c>
      <c r="D383">
        <f>_xlfn.STDEV.S(D183:D213)</f>
        <v>5.3988529247633519</v>
      </c>
    </row>
    <row r="384" spans="1:4" x14ac:dyDescent="0.3">
      <c r="A384" t="s">
        <v>23</v>
      </c>
      <c r="B384">
        <f>_xlfn.STDEV.S(B214:B244)</f>
        <v>1.926443042422725</v>
      </c>
      <c r="C384">
        <f>_xlfn.STDEV.S(C214:C244)</f>
        <v>3.3412669028572068</v>
      </c>
      <c r="D384">
        <f>_xlfn.STDEV.S(D214:D244)</f>
        <v>1.8653144103508033</v>
      </c>
    </row>
    <row r="385" spans="1:4" x14ac:dyDescent="0.3">
      <c r="A385" t="s">
        <v>24</v>
      </c>
      <c r="B385">
        <f>_xlfn.STDEV.S(B245:B274)</f>
        <v>2.7834899123140731</v>
      </c>
      <c r="C385">
        <f>_xlfn.STDEV.S(C245:C274)</f>
        <v>4.8610875752030109</v>
      </c>
      <c r="D385">
        <f>_xlfn.STDEV.S(D245:D274)</f>
        <v>7.1182976138638807</v>
      </c>
    </row>
    <row r="386" spans="1:4" x14ac:dyDescent="0.3">
      <c r="A386" t="s">
        <v>25</v>
      </c>
      <c r="B386">
        <f>_xlfn.STDEV.S(B275:B305)</f>
        <v>3.5964976990017203</v>
      </c>
      <c r="C386">
        <f>_xlfn.STDEV.S(C275:C305)</f>
        <v>5.3509360049464458</v>
      </c>
      <c r="D386">
        <f>_xlfn.STDEV.S(D275:D305)</f>
        <v>8.930310835178318</v>
      </c>
    </row>
    <row r="387" spans="1:4" x14ac:dyDescent="0.3">
      <c r="A387" t="s">
        <v>26</v>
      </c>
      <c r="B387">
        <f>_xlfn.STDEV.S(B306:B335)</f>
        <v>3.3109779088123581</v>
      </c>
      <c r="C387">
        <f>_xlfn.STDEV.S(C306:C335)</f>
        <v>6.074848278697635</v>
      </c>
      <c r="D387">
        <f>_xlfn.STDEV.S(D306:D335)</f>
        <v>4.5608478743906087</v>
      </c>
    </row>
    <row r="388" spans="1:4" x14ac:dyDescent="0.3">
      <c r="A388" t="s">
        <v>27</v>
      </c>
      <c r="B388">
        <f>_xlfn.STDEV.S(B336:B366)</f>
        <v>2.3190468935801305</v>
      </c>
      <c r="C388">
        <f>_xlfn.STDEV.S(C336:C366)</f>
        <v>5.4610192439503367</v>
      </c>
      <c r="D388">
        <f>_xlfn.STDEV.S(D336:D366)</f>
        <v>8.8435822061288683</v>
      </c>
    </row>
    <row r="390" spans="1:4" x14ac:dyDescent="0.3">
      <c r="A390" t="s">
        <v>11</v>
      </c>
      <c r="B390">
        <f>MIN(B377:B388)</f>
        <v>1.7087378225569185</v>
      </c>
      <c r="C390">
        <f>MIN(C377:C388)</f>
        <v>1.4700887454641478</v>
      </c>
      <c r="D390">
        <f>MIN(D377:D388)</f>
        <v>1.2896760708860546</v>
      </c>
    </row>
    <row r="391" spans="1:4" x14ac:dyDescent="0.3">
      <c r="A391" t="s">
        <v>12</v>
      </c>
      <c r="B391">
        <f>MAX(B377:B388)</f>
        <v>3.5964976990017203</v>
      </c>
      <c r="C391">
        <f>MAX(C377:C388)</f>
        <v>6.7683085036071091</v>
      </c>
      <c r="D391">
        <f>MAX(D377:D388)</f>
        <v>35.811755777284247</v>
      </c>
    </row>
  </sheetData>
  <conditionalFormatting sqref="B376:D376">
    <cfRule type="containsBlanks" dxfId="11" priority="15">
      <formula>LEN(TRIM(B376))=0</formula>
    </cfRule>
  </conditionalFormatting>
  <conditionalFormatting sqref="E1:H1 J1:L1 A1:D58 A59:B59 D59 A60:D316 A317:B317 D317 A318:D366">
    <cfRule type="containsBlanks" dxfId="10" priority="18">
      <formula>LEN(TRIM(A1))=0</formula>
    </cfRule>
  </conditionalFormatting>
  <conditionalFormatting sqref="AA1:AA366">
    <cfRule type="containsBlanks" dxfId="9" priority="14">
      <formula>LEN(TRIM(AA1))=0</formula>
    </cfRule>
  </conditionalFormatting>
  <conditionalFormatting sqref="AB1 V1:Y58 V59:W59 Y59 V60:Y316 V317:W317 Y317 V318:Y366">
    <cfRule type="containsBlanks" dxfId="8" priority="13">
      <formula>LEN(TRIM(V1))=0</formula>
    </cfRule>
  </conditionalFormatting>
  <conditionalFormatting sqref="AD1:AD366">
    <cfRule type="containsBlanks" dxfId="7" priority="12">
      <formula>LEN(TRIM(AD1))=0</formula>
    </cfRule>
  </conditionalFormatting>
  <conditionalFormatting sqref="AH1:AH58 AH60:AH316 AH318:AH366">
    <cfRule type="containsBlanks" dxfId="6" priority="9">
      <formula>LEN(TRIM(AH1))=0</formula>
    </cfRule>
  </conditionalFormatting>
  <conditionalFormatting sqref="AK1 AJ1:AJ366">
    <cfRule type="containsBlanks" dxfId="5" priority="10">
      <formula>LEN(TRIM(AJ1))=0</formula>
    </cfRule>
  </conditionalFormatting>
  <conditionalFormatting sqref="AL1:AL366">
    <cfRule type="containsBlanks" dxfId="4" priority="7">
      <formula>LEN(TRIM(AL1))=0</formula>
    </cfRule>
  </conditionalFormatting>
  <conditionalFormatting sqref="AR1:AS1 AV1:AW1 AP1:AQ366">
    <cfRule type="containsBlanks" dxfId="3" priority="5">
      <formula>LEN(TRIM(AP1))=0</formula>
    </cfRule>
  </conditionalFormatting>
  <conditionalFormatting sqref="AT1:AT58 AT60:AT316 AT318:AT366">
    <cfRule type="containsBlanks" dxfId="2" priority="4">
      <formula>LEN(TRIM(AT1))=0</formula>
    </cfRule>
  </conditionalFormatting>
  <conditionalFormatting sqref="AU1:AU366">
    <cfRule type="containsBlanks" dxfId="1" priority="3">
      <formula>LEN(TRIM(AU1))=0</formula>
    </cfRule>
  </conditionalFormatting>
  <conditionalFormatting sqref="AX1:AY366">
    <cfRule type="containsBlanks" dxfId="0" priority="1">
      <formula>LEN(TRIM(AX1))=0</formula>
    </cfRule>
  </conditionalFormatting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1652-9EB1-4F96-BF9F-ACA22C6E446C}">
  <dimension ref="A1:E76"/>
  <sheetViews>
    <sheetView workbookViewId="0">
      <selection sqref="A1:E76"/>
    </sheetView>
  </sheetViews>
  <sheetFormatPr defaultRowHeight="14.4" x14ac:dyDescent="0.3"/>
  <cols>
    <col min="1" max="1" width="6.88671875" bestFit="1" customWidth="1"/>
    <col min="2" max="2" width="11.21875" bestFit="1" customWidth="1"/>
    <col min="3" max="3" width="14.33203125" bestFit="1" customWidth="1"/>
    <col min="4" max="4" width="8.6640625" bestFit="1" customWidth="1"/>
    <col min="5" max="5" width="8.44140625" bestFit="1" customWidth="1"/>
  </cols>
  <sheetData>
    <row r="1" spans="1:5" x14ac:dyDescent="0.3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3">
      <c r="A2">
        <v>2017</v>
      </c>
      <c r="B2" t="s">
        <v>54</v>
      </c>
      <c r="C2" t="s">
        <v>55</v>
      </c>
      <c r="D2" s="3">
        <v>20000</v>
      </c>
      <c r="E2" s="4">
        <v>0.75</v>
      </c>
    </row>
    <row r="3" spans="1:5" x14ac:dyDescent="0.3">
      <c r="A3">
        <v>2015</v>
      </c>
      <c r="B3" t="s">
        <v>56</v>
      </c>
      <c r="C3" t="s">
        <v>57</v>
      </c>
      <c r="D3" s="3">
        <v>3700</v>
      </c>
      <c r="E3" s="4">
        <v>0.22</v>
      </c>
    </row>
    <row r="4" spans="1:5" x14ac:dyDescent="0.3">
      <c r="A4">
        <v>2017</v>
      </c>
      <c r="B4" t="s">
        <v>56</v>
      </c>
      <c r="C4" t="s">
        <v>58</v>
      </c>
      <c r="D4" s="3">
        <v>4000</v>
      </c>
      <c r="E4" s="4">
        <v>0.22</v>
      </c>
    </row>
    <row r="5" spans="1:5" x14ac:dyDescent="0.3">
      <c r="A5">
        <v>2015</v>
      </c>
      <c r="B5" t="s">
        <v>56</v>
      </c>
      <c r="C5" t="s">
        <v>59</v>
      </c>
      <c r="D5" s="3">
        <v>13300</v>
      </c>
      <c r="E5" s="4">
        <v>0.56000000000000005</v>
      </c>
    </row>
    <row r="6" spans="1:5" x14ac:dyDescent="0.3">
      <c r="A6">
        <v>2017</v>
      </c>
      <c r="B6" t="s">
        <v>56</v>
      </c>
      <c r="C6" t="s">
        <v>60</v>
      </c>
      <c r="D6" s="3">
        <v>36000</v>
      </c>
      <c r="E6" s="4">
        <v>1</v>
      </c>
    </row>
    <row r="7" spans="1:5" x14ac:dyDescent="0.3">
      <c r="A7">
        <v>2015</v>
      </c>
      <c r="B7" t="s">
        <v>54</v>
      </c>
      <c r="C7" t="s">
        <v>61</v>
      </c>
      <c r="D7" s="3">
        <v>2300</v>
      </c>
      <c r="E7" s="4">
        <v>0.35</v>
      </c>
    </row>
    <row r="8" spans="1:5" x14ac:dyDescent="0.3">
      <c r="A8">
        <v>2016</v>
      </c>
      <c r="B8" t="s">
        <v>56</v>
      </c>
      <c r="C8" t="s">
        <v>57</v>
      </c>
      <c r="D8" s="3">
        <v>2300</v>
      </c>
      <c r="E8" s="4">
        <v>0.28000000000000003</v>
      </c>
    </row>
    <row r="9" spans="1:5" x14ac:dyDescent="0.3">
      <c r="A9">
        <v>2016</v>
      </c>
      <c r="B9" t="s">
        <v>54</v>
      </c>
      <c r="C9" t="s">
        <v>62</v>
      </c>
      <c r="D9" s="3">
        <v>3400</v>
      </c>
      <c r="E9" s="4">
        <v>0.36</v>
      </c>
    </row>
    <row r="10" spans="1:5" x14ac:dyDescent="0.3">
      <c r="A10">
        <v>2016</v>
      </c>
      <c r="B10" t="s">
        <v>63</v>
      </c>
      <c r="C10" t="s">
        <v>64</v>
      </c>
      <c r="D10" s="3">
        <v>6300</v>
      </c>
      <c r="E10" s="4">
        <v>0.4</v>
      </c>
    </row>
    <row r="11" spans="1:5" x14ac:dyDescent="0.3">
      <c r="A11">
        <v>2017</v>
      </c>
      <c r="B11" t="s">
        <v>54</v>
      </c>
      <c r="C11" t="s">
        <v>62</v>
      </c>
      <c r="D11" s="3">
        <v>5400</v>
      </c>
      <c r="E11" s="4">
        <v>0.38</v>
      </c>
    </row>
    <row r="12" spans="1:5" x14ac:dyDescent="0.3">
      <c r="A12">
        <v>2016</v>
      </c>
      <c r="B12" t="s">
        <v>65</v>
      </c>
      <c r="C12" t="s">
        <v>66</v>
      </c>
      <c r="D12" s="3">
        <v>17000</v>
      </c>
      <c r="E12" s="4">
        <v>0.9</v>
      </c>
    </row>
    <row r="13" spans="1:5" x14ac:dyDescent="0.3">
      <c r="A13">
        <v>2016</v>
      </c>
      <c r="B13" t="s">
        <v>65</v>
      </c>
      <c r="C13" t="s">
        <v>67</v>
      </c>
      <c r="D13" s="3">
        <v>21600</v>
      </c>
      <c r="E13" s="4">
        <v>0.9</v>
      </c>
    </row>
    <row r="14" spans="1:5" x14ac:dyDescent="0.3">
      <c r="A14">
        <v>2016</v>
      </c>
      <c r="B14" t="s">
        <v>65</v>
      </c>
      <c r="C14" t="s">
        <v>68</v>
      </c>
      <c r="D14" s="3">
        <v>29800</v>
      </c>
      <c r="E14" s="4">
        <v>0.9</v>
      </c>
    </row>
    <row r="15" spans="1:5" x14ac:dyDescent="0.3">
      <c r="A15">
        <v>2016</v>
      </c>
      <c r="B15" t="s">
        <v>54</v>
      </c>
      <c r="C15" t="s">
        <v>69</v>
      </c>
      <c r="D15" s="3">
        <v>1000</v>
      </c>
      <c r="E15" s="4">
        <v>0.23</v>
      </c>
    </row>
    <row r="16" spans="1:5" x14ac:dyDescent="0.3">
      <c r="A16">
        <v>2015</v>
      </c>
      <c r="B16" t="s">
        <v>56</v>
      </c>
      <c r="C16" t="s">
        <v>70</v>
      </c>
      <c r="D16" s="3">
        <v>6700</v>
      </c>
      <c r="E16" s="4">
        <v>0.05</v>
      </c>
    </row>
    <row r="17" spans="1:5" x14ac:dyDescent="0.3">
      <c r="A17">
        <v>2017</v>
      </c>
      <c r="B17" t="s">
        <v>54</v>
      </c>
      <c r="C17" t="s">
        <v>69</v>
      </c>
      <c r="D17" s="3">
        <v>600</v>
      </c>
      <c r="E17" s="4">
        <v>0.27</v>
      </c>
    </row>
    <row r="18" spans="1:5" x14ac:dyDescent="0.3">
      <c r="A18">
        <v>2015</v>
      </c>
      <c r="B18" t="s">
        <v>63</v>
      </c>
      <c r="C18" t="s">
        <v>71</v>
      </c>
      <c r="D18" s="3">
        <v>3500</v>
      </c>
      <c r="E18" s="4">
        <v>0.5</v>
      </c>
    </row>
    <row r="19" spans="1:5" x14ac:dyDescent="0.3">
      <c r="A19">
        <v>2017</v>
      </c>
      <c r="B19" t="s">
        <v>56</v>
      </c>
      <c r="C19" t="s">
        <v>70</v>
      </c>
      <c r="D19" s="3">
        <v>7500</v>
      </c>
      <c r="E19" s="4">
        <v>0.4</v>
      </c>
    </row>
    <row r="20" spans="1:5" x14ac:dyDescent="0.3">
      <c r="A20">
        <v>2017</v>
      </c>
      <c r="B20" t="s">
        <v>65</v>
      </c>
      <c r="C20" t="s">
        <v>72</v>
      </c>
      <c r="D20" s="3">
        <v>63700</v>
      </c>
      <c r="E20" s="4">
        <v>0.9</v>
      </c>
    </row>
    <row r="21" spans="1:5" x14ac:dyDescent="0.3">
      <c r="A21">
        <v>2017</v>
      </c>
      <c r="B21" t="s">
        <v>63</v>
      </c>
      <c r="C21" t="s">
        <v>73</v>
      </c>
      <c r="D21" s="3">
        <v>9300</v>
      </c>
      <c r="E21" s="4">
        <v>0.6</v>
      </c>
    </row>
    <row r="22" spans="1:5" x14ac:dyDescent="0.3">
      <c r="A22">
        <v>2017</v>
      </c>
      <c r="B22" t="s">
        <v>63</v>
      </c>
      <c r="C22" t="s">
        <v>64</v>
      </c>
      <c r="D22" s="3">
        <v>8500</v>
      </c>
      <c r="E22" s="4">
        <v>0.46</v>
      </c>
    </row>
    <row r="23" spans="1:5" x14ac:dyDescent="0.3">
      <c r="A23">
        <v>2017</v>
      </c>
      <c r="B23" t="s">
        <v>65</v>
      </c>
      <c r="C23" t="s">
        <v>74</v>
      </c>
      <c r="D23" s="3">
        <v>33700</v>
      </c>
      <c r="E23" s="4">
        <v>0.92</v>
      </c>
    </row>
    <row r="24" spans="1:5" x14ac:dyDescent="0.3">
      <c r="A24">
        <v>2017</v>
      </c>
      <c r="B24" t="s">
        <v>56</v>
      </c>
      <c r="C24" t="s">
        <v>75</v>
      </c>
      <c r="D24" s="3">
        <v>600</v>
      </c>
      <c r="E24" s="4">
        <v>0.15</v>
      </c>
    </row>
    <row r="25" spans="1:5" x14ac:dyDescent="0.3">
      <c r="A25">
        <v>2015</v>
      </c>
      <c r="B25" t="s">
        <v>63</v>
      </c>
      <c r="C25" t="s">
        <v>64</v>
      </c>
      <c r="D25" s="3">
        <v>3100</v>
      </c>
      <c r="E25" s="4">
        <v>0.35</v>
      </c>
    </row>
    <row r="26" spans="1:5" x14ac:dyDescent="0.3">
      <c r="A26">
        <v>2017</v>
      </c>
      <c r="B26" t="s">
        <v>65</v>
      </c>
      <c r="C26" t="s">
        <v>76</v>
      </c>
      <c r="D26" s="3">
        <v>30700</v>
      </c>
      <c r="E26" s="4">
        <v>0.95</v>
      </c>
    </row>
    <row r="27" spans="1:5" x14ac:dyDescent="0.3">
      <c r="A27">
        <v>2016</v>
      </c>
      <c r="B27" t="s">
        <v>65</v>
      </c>
      <c r="C27" t="s">
        <v>76</v>
      </c>
      <c r="D27" s="3">
        <v>16400</v>
      </c>
      <c r="E27" s="4">
        <v>0.8</v>
      </c>
    </row>
    <row r="28" spans="1:5" x14ac:dyDescent="0.3">
      <c r="A28">
        <v>2016</v>
      </c>
      <c r="B28" t="s">
        <v>65</v>
      </c>
      <c r="C28" t="s">
        <v>74</v>
      </c>
      <c r="D28" s="3">
        <v>22100</v>
      </c>
      <c r="E28" s="4">
        <v>0.9</v>
      </c>
    </row>
    <row r="29" spans="1:5" x14ac:dyDescent="0.3">
      <c r="A29">
        <v>2017</v>
      </c>
      <c r="B29" t="s">
        <v>65</v>
      </c>
      <c r="C29" t="s">
        <v>66</v>
      </c>
      <c r="D29" s="3">
        <v>34000</v>
      </c>
      <c r="E29" s="4">
        <v>0.95</v>
      </c>
    </row>
    <row r="30" spans="1:5" x14ac:dyDescent="0.3">
      <c r="A30">
        <v>2015</v>
      </c>
      <c r="B30" t="s">
        <v>65</v>
      </c>
      <c r="C30" t="s">
        <v>76</v>
      </c>
      <c r="D30" s="3">
        <v>700</v>
      </c>
      <c r="E30" s="4">
        <v>0.1</v>
      </c>
    </row>
    <row r="31" spans="1:5" x14ac:dyDescent="0.3">
      <c r="A31">
        <v>2015</v>
      </c>
      <c r="B31" t="s">
        <v>56</v>
      </c>
      <c r="C31" t="s">
        <v>60</v>
      </c>
      <c r="D31" s="3">
        <v>3300</v>
      </c>
      <c r="E31" s="4">
        <v>0.3</v>
      </c>
    </row>
    <row r="32" spans="1:5" x14ac:dyDescent="0.3">
      <c r="A32">
        <v>2017</v>
      </c>
      <c r="B32" t="s">
        <v>63</v>
      </c>
      <c r="C32" t="s">
        <v>71</v>
      </c>
      <c r="D32" s="3">
        <v>16900</v>
      </c>
      <c r="E32" s="4">
        <v>0.65</v>
      </c>
    </row>
    <row r="33" spans="1:5" x14ac:dyDescent="0.3">
      <c r="A33">
        <v>2017</v>
      </c>
      <c r="B33" t="s">
        <v>65</v>
      </c>
      <c r="C33" t="s">
        <v>67</v>
      </c>
      <c r="D33" s="3">
        <v>36700</v>
      </c>
      <c r="E33" s="4">
        <v>0.9</v>
      </c>
    </row>
    <row r="34" spans="1:5" x14ac:dyDescent="0.3">
      <c r="A34">
        <v>2015</v>
      </c>
      <c r="B34" t="s">
        <v>65</v>
      </c>
      <c r="C34" t="s">
        <v>66</v>
      </c>
      <c r="D34" s="3">
        <v>8300</v>
      </c>
      <c r="E34" s="4">
        <v>0.99</v>
      </c>
    </row>
    <row r="35" spans="1:5" x14ac:dyDescent="0.3">
      <c r="A35">
        <v>2016</v>
      </c>
      <c r="B35" t="s">
        <v>56</v>
      </c>
      <c r="C35" t="s">
        <v>58</v>
      </c>
      <c r="D35" s="3">
        <v>2900</v>
      </c>
      <c r="E35" s="4">
        <v>0.36</v>
      </c>
    </row>
    <row r="36" spans="1:5" x14ac:dyDescent="0.3">
      <c r="A36">
        <v>2015</v>
      </c>
      <c r="B36" t="s">
        <v>65</v>
      </c>
      <c r="C36" t="s">
        <v>72</v>
      </c>
      <c r="D36" s="3">
        <v>8700</v>
      </c>
      <c r="E36" s="4">
        <v>0.9</v>
      </c>
    </row>
    <row r="37" spans="1:5" x14ac:dyDescent="0.3">
      <c r="A37">
        <v>2017</v>
      </c>
      <c r="B37" t="s">
        <v>65</v>
      </c>
      <c r="C37" t="s">
        <v>68</v>
      </c>
      <c r="D37" s="3">
        <v>35000</v>
      </c>
      <c r="E37" s="4">
        <v>1</v>
      </c>
    </row>
    <row r="38" spans="1:5" x14ac:dyDescent="0.3">
      <c r="A38">
        <v>2016</v>
      </c>
      <c r="B38" t="s">
        <v>63</v>
      </c>
      <c r="C38" t="s">
        <v>71</v>
      </c>
      <c r="D38" s="3">
        <v>8300</v>
      </c>
      <c r="E38" s="4">
        <v>0.46</v>
      </c>
    </row>
    <row r="39" spans="1:5" x14ac:dyDescent="0.3">
      <c r="A39">
        <v>2016</v>
      </c>
      <c r="B39" t="s">
        <v>54</v>
      </c>
      <c r="C39" t="s">
        <v>77</v>
      </c>
      <c r="D39" s="3">
        <v>16700</v>
      </c>
      <c r="E39" s="4">
        <v>0.75</v>
      </c>
    </row>
    <row r="40" spans="1:5" x14ac:dyDescent="0.3">
      <c r="A40">
        <v>2016</v>
      </c>
      <c r="B40" t="s">
        <v>63</v>
      </c>
      <c r="C40" t="s">
        <v>78</v>
      </c>
      <c r="D40" s="3">
        <v>1800</v>
      </c>
      <c r="E40" s="4">
        <v>0.15</v>
      </c>
    </row>
    <row r="41" spans="1:5" x14ac:dyDescent="0.3">
      <c r="A41">
        <v>2017</v>
      </c>
      <c r="B41" t="s">
        <v>56</v>
      </c>
      <c r="C41" t="s">
        <v>57</v>
      </c>
      <c r="D41" s="3">
        <v>3700</v>
      </c>
      <c r="E41" s="4">
        <v>0.48</v>
      </c>
    </row>
    <row r="42" spans="1:5" x14ac:dyDescent="0.3">
      <c r="A42">
        <v>2016</v>
      </c>
      <c r="B42" t="s">
        <v>56</v>
      </c>
      <c r="C42" t="s">
        <v>59</v>
      </c>
      <c r="D42" s="3">
        <v>12000</v>
      </c>
      <c r="E42" s="4">
        <v>0.66</v>
      </c>
    </row>
    <row r="43" spans="1:5" x14ac:dyDescent="0.3">
      <c r="A43">
        <v>2015</v>
      </c>
      <c r="B43" t="s">
        <v>65</v>
      </c>
      <c r="C43" t="s">
        <v>68</v>
      </c>
      <c r="D43" s="3">
        <v>10000</v>
      </c>
      <c r="E43" s="4">
        <v>0.85</v>
      </c>
    </row>
    <row r="44" spans="1:5" x14ac:dyDescent="0.3">
      <c r="A44">
        <v>2015</v>
      </c>
      <c r="B44" t="s">
        <v>54</v>
      </c>
      <c r="C44" t="s">
        <v>69</v>
      </c>
      <c r="D44" s="3">
        <v>500</v>
      </c>
      <c r="E44" s="4">
        <v>0.35</v>
      </c>
    </row>
    <row r="45" spans="1:5" x14ac:dyDescent="0.3">
      <c r="A45">
        <v>2017</v>
      </c>
      <c r="B45" t="s">
        <v>54</v>
      </c>
      <c r="C45" t="s">
        <v>77</v>
      </c>
      <c r="D45" s="3">
        <v>21800</v>
      </c>
      <c r="E45" s="4">
        <v>0.96</v>
      </c>
    </row>
    <row r="46" spans="1:5" x14ac:dyDescent="0.3">
      <c r="A46">
        <v>2016</v>
      </c>
      <c r="B46" t="s">
        <v>54</v>
      </c>
      <c r="C46" t="s">
        <v>55</v>
      </c>
      <c r="D46" s="3">
        <v>16400</v>
      </c>
      <c r="E46" s="4">
        <v>0.7</v>
      </c>
    </row>
    <row r="47" spans="1:5" x14ac:dyDescent="0.3">
      <c r="A47">
        <v>2016</v>
      </c>
      <c r="B47" t="s">
        <v>56</v>
      </c>
      <c r="C47" t="s">
        <v>75</v>
      </c>
      <c r="D47" s="3">
        <v>400</v>
      </c>
      <c r="E47" s="4">
        <v>0.2</v>
      </c>
    </row>
    <row r="48" spans="1:5" x14ac:dyDescent="0.3">
      <c r="A48">
        <v>2015</v>
      </c>
      <c r="B48" t="s">
        <v>56</v>
      </c>
      <c r="C48" t="s">
        <v>79</v>
      </c>
      <c r="D48" s="3">
        <v>3300</v>
      </c>
      <c r="E48" s="4">
        <v>0.36</v>
      </c>
    </row>
    <row r="49" spans="1:5" x14ac:dyDescent="0.3">
      <c r="A49">
        <v>2017</v>
      </c>
      <c r="B49" t="s">
        <v>54</v>
      </c>
      <c r="C49" t="s">
        <v>61</v>
      </c>
      <c r="D49" s="3">
        <v>5000</v>
      </c>
      <c r="E49" s="4">
        <v>0.35</v>
      </c>
    </row>
    <row r="50" spans="1:5" x14ac:dyDescent="0.3">
      <c r="A50">
        <v>2016</v>
      </c>
      <c r="B50" t="s">
        <v>54</v>
      </c>
      <c r="C50" t="s">
        <v>61</v>
      </c>
      <c r="D50" s="3">
        <v>3300</v>
      </c>
      <c r="E50" s="4">
        <v>0.38</v>
      </c>
    </row>
    <row r="51" spans="1:5" x14ac:dyDescent="0.3">
      <c r="A51">
        <v>2015</v>
      </c>
      <c r="B51" t="s">
        <v>54</v>
      </c>
      <c r="C51" t="s">
        <v>80</v>
      </c>
      <c r="D51" s="3">
        <v>800</v>
      </c>
      <c r="E51" s="4">
        <v>0.36</v>
      </c>
    </row>
    <row r="52" spans="1:5" x14ac:dyDescent="0.3">
      <c r="A52">
        <v>2016</v>
      </c>
      <c r="B52" t="s">
        <v>56</v>
      </c>
      <c r="C52" t="s">
        <v>81</v>
      </c>
      <c r="D52" s="3">
        <v>15600</v>
      </c>
      <c r="E52" s="4">
        <v>0.65</v>
      </c>
    </row>
    <row r="53" spans="1:5" x14ac:dyDescent="0.3">
      <c r="A53">
        <v>2016</v>
      </c>
      <c r="B53" t="s">
        <v>54</v>
      </c>
      <c r="C53" t="s">
        <v>80</v>
      </c>
      <c r="D53" s="3">
        <v>1500</v>
      </c>
      <c r="E53" s="4">
        <v>0.17</v>
      </c>
    </row>
    <row r="54" spans="1:5" x14ac:dyDescent="0.3">
      <c r="A54">
        <v>2017</v>
      </c>
      <c r="B54" t="s">
        <v>54</v>
      </c>
      <c r="C54" t="s">
        <v>80</v>
      </c>
      <c r="D54" s="3">
        <v>6200</v>
      </c>
      <c r="E54" s="4">
        <v>0.38</v>
      </c>
    </row>
    <row r="55" spans="1:5" x14ac:dyDescent="0.3">
      <c r="A55">
        <v>2017</v>
      </c>
      <c r="B55" t="s">
        <v>56</v>
      </c>
      <c r="C55" t="s">
        <v>81</v>
      </c>
      <c r="D55" s="3">
        <v>27000</v>
      </c>
      <c r="E55" s="4">
        <v>0.88</v>
      </c>
    </row>
    <row r="56" spans="1:5" x14ac:dyDescent="0.3">
      <c r="A56">
        <v>2016</v>
      </c>
      <c r="B56" t="s">
        <v>54</v>
      </c>
      <c r="C56" t="s">
        <v>82</v>
      </c>
      <c r="D56" s="3">
        <v>2800</v>
      </c>
      <c r="E56" s="4">
        <v>0.38</v>
      </c>
    </row>
    <row r="57" spans="1:5" x14ac:dyDescent="0.3">
      <c r="A57">
        <v>2016</v>
      </c>
      <c r="B57" t="s">
        <v>63</v>
      </c>
      <c r="C57" t="s">
        <v>73</v>
      </c>
      <c r="D57" s="3">
        <v>6700</v>
      </c>
      <c r="E57" s="4">
        <v>0.46</v>
      </c>
    </row>
    <row r="58" spans="1:5" x14ac:dyDescent="0.3">
      <c r="A58">
        <v>2015</v>
      </c>
      <c r="B58" t="s">
        <v>56</v>
      </c>
      <c r="C58" t="s">
        <v>81</v>
      </c>
      <c r="D58" s="3">
        <v>13300</v>
      </c>
      <c r="E58" s="4">
        <v>0.5</v>
      </c>
    </row>
    <row r="59" spans="1:5" x14ac:dyDescent="0.3">
      <c r="A59">
        <v>2016</v>
      </c>
      <c r="B59" t="s">
        <v>65</v>
      </c>
      <c r="C59" t="s">
        <v>72</v>
      </c>
      <c r="D59" s="3">
        <v>13800</v>
      </c>
      <c r="E59" s="4">
        <v>0.85</v>
      </c>
    </row>
    <row r="60" spans="1:5" x14ac:dyDescent="0.3">
      <c r="A60">
        <v>2017</v>
      </c>
      <c r="B60" t="s">
        <v>56</v>
      </c>
      <c r="C60" t="s">
        <v>79</v>
      </c>
      <c r="D60" s="3">
        <v>2400</v>
      </c>
      <c r="E60" s="4">
        <v>0.35</v>
      </c>
    </row>
    <row r="61" spans="1:5" x14ac:dyDescent="0.3">
      <c r="A61">
        <v>2015</v>
      </c>
      <c r="B61" t="s">
        <v>65</v>
      </c>
      <c r="C61" t="s">
        <v>74</v>
      </c>
      <c r="D61" s="3">
        <v>300</v>
      </c>
      <c r="E61" s="4">
        <v>0.05</v>
      </c>
    </row>
    <row r="62" spans="1:5" x14ac:dyDescent="0.3">
      <c r="A62">
        <v>2015</v>
      </c>
      <c r="B62" t="s">
        <v>54</v>
      </c>
      <c r="C62" t="s">
        <v>82</v>
      </c>
      <c r="D62" s="3">
        <v>2100</v>
      </c>
      <c r="E62" s="4">
        <v>0.49</v>
      </c>
    </row>
    <row r="63" spans="1:5" x14ac:dyDescent="0.3">
      <c r="A63">
        <v>2015</v>
      </c>
      <c r="B63" t="s">
        <v>54</v>
      </c>
      <c r="C63" t="s">
        <v>62</v>
      </c>
      <c r="D63" s="3">
        <v>2300</v>
      </c>
      <c r="E63" s="4">
        <v>0.34</v>
      </c>
    </row>
    <row r="64" spans="1:5" x14ac:dyDescent="0.3">
      <c r="A64">
        <v>2015</v>
      </c>
      <c r="B64" t="s">
        <v>54</v>
      </c>
      <c r="C64" t="s">
        <v>77</v>
      </c>
      <c r="D64" s="3">
        <v>10000</v>
      </c>
      <c r="E64" s="4">
        <v>0.66</v>
      </c>
    </row>
    <row r="65" spans="1:5" x14ac:dyDescent="0.3">
      <c r="A65">
        <v>2015</v>
      </c>
      <c r="B65" t="s">
        <v>63</v>
      </c>
      <c r="C65" t="s">
        <v>78</v>
      </c>
      <c r="D65" s="3">
        <v>500</v>
      </c>
      <c r="E65" s="4">
        <v>0.22</v>
      </c>
    </row>
    <row r="66" spans="1:5" x14ac:dyDescent="0.3">
      <c r="A66">
        <v>2016</v>
      </c>
      <c r="B66" t="s">
        <v>56</v>
      </c>
      <c r="C66" t="s">
        <v>70</v>
      </c>
      <c r="D66" s="3">
        <v>3800</v>
      </c>
      <c r="E66" s="4">
        <v>0.48</v>
      </c>
    </row>
    <row r="67" spans="1:5" x14ac:dyDescent="0.3">
      <c r="A67">
        <v>2015</v>
      </c>
      <c r="B67" t="s">
        <v>63</v>
      </c>
      <c r="C67" t="s">
        <v>73</v>
      </c>
      <c r="D67" s="3">
        <v>3200</v>
      </c>
      <c r="E67" s="4">
        <v>0.48</v>
      </c>
    </row>
    <row r="68" spans="1:5" x14ac:dyDescent="0.3">
      <c r="A68">
        <v>2017</v>
      </c>
      <c r="B68" t="s">
        <v>56</v>
      </c>
      <c r="C68" t="s">
        <v>59</v>
      </c>
      <c r="D68" s="3">
        <v>23000</v>
      </c>
      <c r="E68" s="4">
        <v>1</v>
      </c>
    </row>
    <row r="69" spans="1:5" x14ac:dyDescent="0.3">
      <c r="A69">
        <v>2015</v>
      </c>
      <c r="B69" t="s">
        <v>56</v>
      </c>
      <c r="C69" t="s">
        <v>58</v>
      </c>
      <c r="D69" s="3">
        <v>700</v>
      </c>
      <c r="E69" s="4">
        <v>0.28000000000000003</v>
      </c>
    </row>
    <row r="70" spans="1:5" x14ac:dyDescent="0.3">
      <c r="A70">
        <v>2015</v>
      </c>
      <c r="B70" t="s">
        <v>65</v>
      </c>
      <c r="C70" t="s">
        <v>67</v>
      </c>
      <c r="D70" s="3">
        <v>1300</v>
      </c>
      <c r="E70" s="4">
        <v>0.9</v>
      </c>
    </row>
    <row r="71" spans="1:5" x14ac:dyDescent="0.3">
      <c r="A71">
        <v>2016</v>
      </c>
      <c r="B71" t="s">
        <v>56</v>
      </c>
      <c r="C71" t="s">
        <v>79</v>
      </c>
      <c r="D71" s="3">
        <v>1300</v>
      </c>
      <c r="E71" s="4">
        <v>0.25</v>
      </c>
    </row>
    <row r="72" spans="1:5" x14ac:dyDescent="0.3">
      <c r="A72">
        <v>2016</v>
      </c>
      <c r="B72" t="s">
        <v>56</v>
      </c>
      <c r="C72" t="s">
        <v>60</v>
      </c>
      <c r="D72" s="3">
        <v>22100</v>
      </c>
      <c r="E72" s="4">
        <v>0.99</v>
      </c>
    </row>
    <row r="73" spans="1:5" x14ac:dyDescent="0.3">
      <c r="A73">
        <v>2017</v>
      </c>
      <c r="B73" t="s">
        <v>54</v>
      </c>
      <c r="C73" t="s">
        <v>82</v>
      </c>
      <c r="D73" s="3">
        <v>3100</v>
      </c>
      <c r="E73" s="4">
        <v>0.42</v>
      </c>
    </row>
    <row r="74" spans="1:5" x14ac:dyDescent="0.3">
      <c r="A74">
        <v>2015</v>
      </c>
      <c r="B74" t="s">
        <v>56</v>
      </c>
      <c r="C74" t="s">
        <v>75</v>
      </c>
      <c r="D74" s="3">
        <v>500</v>
      </c>
      <c r="E74" s="4">
        <v>0.5</v>
      </c>
    </row>
    <row r="75" spans="1:5" x14ac:dyDescent="0.3">
      <c r="A75">
        <v>2017</v>
      </c>
      <c r="B75" t="s">
        <v>63</v>
      </c>
      <c r="C75" t="s">
        <v>78</v>
      </c>
      <c r="D75" s="3">
        <v>3100</v>
      </c>
      <c r="E75" s="4">
        <v>0.22</v>
      </c>
    </row>
    <row r="76" spans="1:5" x14ac:dyDescent="0.3">
      <c r="A76">
        <v>2015</v>
      </c>
      <c r="B76" t="s">
        <v>54</v>
      </c>
      <c r="C76" t="s">
        <v>55</v>
      </c>
      <c r="D76" s="3">
        <v>8700</v>
      </c>
      <c r="E76" s="4">
        <v>0.92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D1E029-9316-46B5-875F-FEF7EB9A41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Blair</dc:creator>
  <cp:lastModifiedBy>Rory Blair</cp:lastModifiedBy>
  <dcterms:created xsi:type="dcterms:W3CDTF">2024-10-21T02:04:27Z</dcterms:created>
  <dcterms:modified xsi:type="dcterms:W3CDTF">2024-10-26T04:36:23Z</dcterms:modified>
</cp:coreProperties>
</file>